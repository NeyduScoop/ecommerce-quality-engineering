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jinmah.Chinedu\Ecommerce-quality-engineering\docs\"/>
    </mc:Choice>
  </mc:AlternateContent>
  <xr:revisionPtr revIDLastSave="0" documentId="13_ncr:20001_{E2B61C91-3119-41D8-8A14-1BD20724446F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Manual Test Cases" sheetId="1" r:id="rId1"/>
    <sheet name="Risk Register" sheetId="2" r:id="rId2"/>
    <sheet name="Requirements Traceability" sheetId="3" r:id="rId3"/>
    <sheet name="Exploratory Charters" sheetId="4" r:id="rId4"/>
    <sheet name="Execution Summary" sheetId="5" r:id="rId5"/>
  </sheets>
  <definedNames>
    <definedName name="_xlnm._FilterDatabase" localSheetId="4" hidden="1">'Execution Summary'!$A$1:$B$10</definedName>
    <definedName name="_xlnm._FilterDatabase" localSheetId="3" hidden="1">'Exploratory Charters'!$A$1:$J$8</definedName>
    <definedName name="_xlnm._FilterDatabase" localSheetId="0" hidden="1">'Manual Test Cases'!$A$1:$R$76</definedName>
    <definedName name="_xlnm._FilterDatabase" localSheetId="2" hidden="1">'Requirements Traceability'!$A$1:$I$18</definedName>
    <definedName name="_xlnm._FilterDatabase" localSheetId="1" hidden="1">'Risk Register'!$A$1:$J$11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3" i="5"/>
  <c r="B2" i="5"/>
  <c r="B7" i="5" l="1"/>
  <c r="B8" i="5" s="1"/>
</calcChain>
</file>

<file path=xl/sharedStrings.xml><?xml version="1.0" encoding="utf-8"?>
<sst xmlns="http://schemas.openxmlformats.org/spreadsheetml/2006/main" count="1559" uniqueCount="752">
  <si>
    <t>Test Case ID</t>
  </si>
  <si>
    <t>Module</t>
  </si>
  <si>
    <t>Test Case Title</t>
  </si>
  <si>
    <t>Scenario / Description</t>
  </si>
  <si>
    <t>Test Type</t>
  </si>
  <si>
    <t>Priority</t>
  </si>
  <si>
    <t>Preconditions</t>
  </si>
  <si>
    <t>Test Steps</t>
  </si>
  <si>
    <t>Test Data</t>
  </si>
  <si>
    <t>Expected Result</t>
  </si>
  <si>
    <t>Requirement ID</t>
  </si>
  <si>
    <t>Risk ID</t>
  </si>
  <si>
    <t>Actual Result</t>
  </si>
  <si>
    <t>Status</t>
  </si>
  <si>
    <t>Environment</t>
  </si>
  <si>
    <t>Platform / Browser</t>
  </si>
  <si>
    <t>Evidence / Defect ID</t>
  </si>
  <si>
    <t>Comments</t>
  </si>
  <si>
    <t>TC-AUTH-001</t>
  </si>
  <si>
    <t>Login</t>
  </si>
  <si>
    <t>Login with valid demo credentials</t>
  </si>
  <si>
    <t>Verify a supported user can log in and reach inventory.</t>
  </si>
  <si>
    <t>Positive / Functional</t>
  </si>
  <si>
    <t>P1</t>
  </si>
  <si>
    <t>SauceDemo login page is reachable; use a demo persona supported by the site's current guidance.</t>
  </si>
  <si>
    <t>1. Open https://www.saucedemo.com/.
2. Enter a documented valid username.
3. Enter its matching password.
4. Select Login.
5. Verify the destination page and inventory content.</t>
  </si>
  <si>
    <t>Documented valid demo account</t>
  </si>
  <si>
    <t>User is authenticated and inventory page is displayed without a login error.</t>
  </si>
  <si>
    <t>REQ-AUTH-001</t>
  </si>
  <si>
    <t>RISK-01</t>
  </si>
  <si>
    <t>Not Run</t>
  </si>
  <si>
    <t>TC-AUTH-002</t>
  </si>
  <si>
    <t>Login with an incorrect password</t>
  </si>
  <si>
    <t>Verify incorrect password is rejected.</t>
  </si>
  <si>
    <t>Negative / Functional</t>
  </si>
  <si>
    <t>1. Open login page.
2. Enter a valid demo username.
3. Enter an incorrect password.
4. Select Login.
5. Inspect feedback and page state.</t>
  </si>
  <si>
    <t>Valid demo username; incorrect password</t>
  </si>
  <si>
    <t>Authentication is rejected, the user remains unauthenticated, and clear error feedback is displayed.</t>
  </si>
  <si>
    <t>REQ-AUTH-002</t>
  </si>
  <si>
    <t>TC-AUTH-003</t>
  </si>
  <si>
    <t>Login with an unknown username</t>
  </si>
  <si>
    <t>Verify unsupported username is rejected.</t>
  </si>
  <si>
    <t>1. Open login page.
2. Enter a username not listed in demo guidance.
3. Enter a non-empty password.
4. Select Login.</t>
  </si>
  <si>
    <t>Username: unknown_user_qa; password: InvalidPass123!</t>
  </si>
  <si>
    <t>Authentication is rejected and the user receives an appropriate error.</t>
  </si>
  <si>
    <t>TC-AUTH-004</t>
  </si>
  <si>
    <t>Submit login with both fields empty</t>
  </si>
  <si>
    <t>Verify required credential validation.</t>
  </si>
  <si>
    <t>Negative / Validation</t>
  </si>
  <si>
    <t>1. Open login page.
2. Leave username and password empty.
3. Select Login.
4. Inspect validation feedback.</t>
  </si>
  <si>
    <t>Username empty; password empty</t>
  </si>
  <si>
    <t>Login is not successful and the application communicates the missing input.</t>
  </si>
  <si>
    <t>TC-AUTH-005</t>
  </si>
  <si>
    <t>Submit login with username missing</t>
  </si>
  <si>
    <t>Verify username is required.</t>
  </si>
  <si>
    <t>P2</t>
  </si>
  <si>
    <t>1. Open login page.
2. Leave username empty.
3. Enter a password.
4. Select Login.</t>
  </si>
  <si>
    <t>Username empty; password: any non-empty value</t>
  </si>
  <si>
    <t>Login is rejected and appropriate validation feedback is displayed.</t>
  </si>
  <si>
    <t>TC-AUTH-006</t>
  </si>
  <si>
    <t>Submit login with password missing</t>
  </si>
  <si>
    <t>Verify password is required.</t>
  </si>
  <si>
    <t>1. Open login page.
2. Enter a documented demo username.
3. Leave password empty.
4. Select Login.</t>
  </si>
  <si>
    <t>Valid demo username; password empty</t>
  </si>
  <si>
    <t>TC-AUTH-007</t>
  </si>
  <si>
    <t>Verify password is masked</t>
  </si>
  <si>
    <t>Check password field presentation.</t>
  </si>
  <si>
    <t>Usability</t>
  </si>
  <si>
    <t>P3</t>
  </si>
  <si>
    <t>1. Open login page.
2. Enter a password value.
3. Observe the rendered characters.</t>
  </si>
  <si>
    <t>Any non-sensitive test string</t>
  </si>
  <si>
    <t>Password input masks the entered characters unless the UI explicitly provides a reveal control.</t>
  </si>
  <si>
    <t>RISK-08</t>
  </si>
  <si>
    <t>TC-AUTH-008</t>
  </si>
  <si>
    <t>Verify login error can be recovered from</t>
  </si>
  <si>
    <t>Verify a user can correct invalid credentials after an error.</t>
  </si>
  <si>
    <t>Regression / Usability</t>
  </si>
  <si>
    <t>1. Submit invalid credentials.
2. Observe the error.
3. Correct both fields with valid demo credentials.
4. Submit again.</t>
  </si>
  <si>
    <t>First attempt invalid; second attempt valid demo credentials</t>
  </si>
  <si>
    <t>The user can recover from the failed attempt and reach inventory.</t>
  </si>
  <si>
    <t>TC-AUTH-009</t>
  </si>
  <si>
    <t>Verify supported locked/restricted demo persona behavior</t>
  </si>
  <si>
    <t>Validate any persona-specific restriction documented by the demo.</t>
  </si>
  <si>
    <t>Negative / Persona</t>
  </si>
  <si>
    <t>1. Review the demo's visible credential guidance.
2. Select a persona documented as locked/restricted, if one exists.
3. Attempt login.
4. Record the observed result and message.</t>
  </si>
  <si>
    <t>Documented locked/restricted persona only</t>
  </si>
  <si>
    <t>The observed behavior matches the demo's documented persona behavior; record exact message.</t>
  </si>
  <si>
    <t>TC-AUTH-010</t>
  </si>
  <si>
    <t>Keyboard-only login</t>
  </si>
  <si>
    <t>Verify login can be completed without a mouse.</t>
  </si>
  <si>
    <t>Accessibility / Usability</t>
  </si>
  <si>
    <t>1. Reload login page.
2. Use Tab/Shift+Tab to move through controls.
3. Enter demo credentials using keyboard.
4. Submit using keyboard.
5. Observe focus and destination.</t>
  </si>
  <si>
    <t>Valid demo credentials</t>
  </si>
  <si>
    <t>Controls are keyboard reachable and the login action can be completed with visible focus where applicable.</t>
  </si>
  <si>
    <t>REQ-A11Y-001</t>
  </si>
  <si>
    <t>TC-INV-001</t>
  </si>
  <si>
    <t>Inventory</t>
  </si>
  <si>
    <t>Inventory page loads after login</t>
  </si>
  <si>
    <t>Verify inventory view is available.</t>
  </si>
  <si>
    <t>1. Log in with a supported demo account.
2. Wait for inventory content.
3. Verify product cards and primary page heading.</t>
  </si>
  <si>
    <t>Valid demo account</t>
  </si>
  <si>
    <t>Inventory page renders with product entries and primary controls.</t>
  </si>
  <si>
    <t>REQ-INV-001</t>
  </si>
  <si>
    <t>RISK-02</t>
  </si>
  <si>
    <t>TC-INV-002</t>
  </si>
  <si>
    <t>Product cards show key product information</t>
  </si>
  <si>
    <t>Check names, prices and visible product images.</t>
  </si>
  <si>
    <t>Functional / UI</t>
  </si>
  <si>
    <t>Log in using a supported demo account unless the case specifically tests unauthenticated access.</t>
  </si>
  <si>
    <t>1. Open inventory.
2. Inspect each visible product card.
3. Record name, price and image presence.</t>
  </si>
  <si>
    <t>Visible inventory products</t>
  </si>
  <si>
    <t>Each product card displays the expected visible name and price and an appropriate image/alternative where provided.</t>
  </si>
  <si>
    <t>TC-INV-003</t>
  </si>
  <si>
    <t>Open product details from a product card</t>
  </si>
  <si>
    <t>Verify product navigation where detail view is supported.</t>
  </si>
  <si>
    <t>Functional / Navigation</t>
  </si>
  <si>
    <t>1. Open inventory.
2. Select a product name or image.
3. Verify detail view.
4. Compare name and price with the originating card.</t>
  </si>
  <si>
    <t>Any available product</t>
  </si>
  <si>
    <t>Product detail view opens and displays matching product information.</t>
  </si>
  <si>
    <t>REQ-DETAIL-001</t>
  </si>
  <si>
    <t>TC-INV-004</t>
  </si>
  <si>
    <t>Return from product details to inventory</t>
  </si>
  <si>
    <t>Verify return navigation where details are supported.</t>
  </si>
  <si>
    <t>A product detail view is open.</t>
  </si>
  <si>
    <t>1. Use the application's back-to-products/navigation control.
2. Verify inventory list and sort control.</t>
  </si>
  <si>
    <t>N/A</t>
  </si>
  <si>
    <t>User returns to inventory without an unexpected error.</t>
  </si>
  <si>
    <t>TC-INV-005</t>
  </si>
  <si>
    <t>Add a product from inventory</t>
  </si>
  <si>
    <t>Verify product can be selected for cart.</t>
  </si>
  <si>
    <t>1. Note a product name and price.
2. Select its Add to cart control.
3. Inspect button state and cart badge.</t>
  </si>
  <si>
    <t>One visible product</t>
  </si>
  <si>
    <t>Selected product is added and UI reflects the changed cart state.</t>
  </si>
  <si>
    <t>REQ-CART-001</t>
  </si>
  <si>
    <t>RISK-04</t>
  </si>
  <si>
    <t>TC-INV-006</t>
  </si>
  <si>
    <t>Add multiple distinct products</t>
  </si>
  <si>
    <t>Verify multiple products can be selected.</t>
  </si>
  <si>
    <t>Positive / Boundary</t>
  </si>
  <si>
    <t>1. Add two distinct products.
2. Observe cart badge.
3. Open cart.
4. Compare product names to selections.</t>
  </si>
  <si>
    <t>Two distinct visible products</t>
  </si>
  <si>
    <t>Both selected products appear in cart and cart indicator matches the UI's documented behavior.</t>
  </si>
  <si>
    <t>REQ-CART-003</t>
  </si>
  <si>
    <t>TC-INV-007</t>
  </si>
  <si>
    <t>Verify product images are not broken</t>
  </si>
  <si>
    <t>Check visible product image loading.</t>
  </si>
  <si>
    <t>UI / Usability</t>
  </si>
  <si>
    <t>1. Open inventory.
2. Inspect visible product images.
3. Check for broken-image indicators or missing assets.</t>
  </si>
  <si>
    <t>All visible products</t>
  </si>
  <si>
    <t>Product images load or any missing image is recorded as a reproducible visual defect.</t>
  </si>
  <si>
    <t>TC-INV-008</t>
  </si>
  <si>
    <t>Verify inventory layout at narrower viewport</t>
  </si>
  <si>
    <t>Check basic responsive usability where supported.</t>
  </si>
  <si>
    <t>Usability / Responsive</t>
  </si>
  <si>
    <t>1. Set browser viewport to a narrower desktop/mobile-like width.
2. Reload inventory.
3. Inspect product cards, buttons, navigation and horizontal overflow.</t>
  </si>
  <si>
    <t>Viewport widths e.g. 390px and 768px</t>
  </si>
  <si>
    <t>Core content and controls remain usable without unintended overlap or loss of access; record layout limitations.</t>
  </si>
  <si>
    <t>TC-INV-009</t>
  </si>
  <si>
    <t>Verify inventory controls by keyboard</t>
  </si>
  <si>
    <t>Check keyboard reachability of key controls.</t>
  </si>
  <si>
    <t>Accessibility</t>
  </si>
  <si>
    <t>1. Open inventory.
2. Navigate through page controls with Tab/Shift+Tab.
3. Activate a product action using keyboard.
4. Observe focus indicator.</t>
  </si>
  <si>
    <t>Key controls are reachable and operable by keyboard with visible focus where applicable.</t>
  </si>
  <si>
    <t>TC-INV-010</t>
  </si>
  <si>
    <t>Verify product count and displayed entries remain stable after navigation</t>
  </si>
  <si>
    <t>Check UI list after returning from another view.</t>
  </si>
  <si>
    <t>Regression</t>
  </si>
  <si>
    <t>1. Record visible product names/count.
2. Open a product detail if supported.
3. Return to inventory.
4. Compare list and sort selection.</t>
  </si>
  <si>
    <t>Recorded inventory list</t>
  </si>
  <si>
    <t>Inventory remains usable and does not unexpectedly lose or duplicate product entries.</t>
  </si>
  <si>
    <t>REQ-NAV-001</t>
  </si>
  <si>
    <t>RISK-07</t>
  </si>
  <si>
    <t>TC-SORT-001</t>
  </si>
  <si>
    <t>Sorting</t>
  </si>
  <si>
    <t>Sort products by name ascending</t>
  </si>
  <si>
    <t>Verify alphabetical ascending order.</t>
  </si>
  <si>
    <t>1. Open inventory.
2. Select the name A-to-Z sort option if available.
3. Record displayed product names.
4. Compare with independently sorted expected order.</t>
  </si>
  <si>
    <t>Current product names</t>
  </si>
  <si>
    <t>Names are in ascending alphabetical order and remain associated with correct product cards.</t>
  </si>
  <si>
    <t>REQ-SORT-001</t>
  </si>
  <si>
    <t>RISK-03</t>
  </si>
  <si>
    <t>TC-SORT-002</t>
  </si>
  <si>
    <t>Sort products by name descending</t>
  </si>
  <si>
    <t>Verify reverse alphabetical order.</t>
  </si>
  <si>
    <t>1. Select name Z-to-A option if available.
2. Record displayed names.
3. Compare with expected descending order.</t>
  </si>
  <si>
    <t>Names are in descending alphabetical order.</t>
  </si>
  <si>
    <t>TC-SORT-003</t>
  </si>
  <si>
    <t>Sort products by price low to high</t>
  </si>
  <si>
    <t>Verify ascending numeric price order.</t>
  </si>
  <si>
    <t>1. Select price low-to-high option if available.
2. Record displayed prices.
3. Compare numeric values in order.</t>
  </si>
  <si>
    <t>Displayed product prices</t>
  </si>
  <si>
    <t>Prices are in non-decreasing numeric order.</t>
  </si>
  <si>
    <t>TC-SORT-004</t>
  </si>
  <si>
    <t>Sort products by price high to low</t>
  </si>
  <si>
    <t>Verify descending numeric price order.</t>
  </si>
  <si>
    <t>1. Select price high-to-low option if available.
2. Record displayed prices.
3. Compare numeric values in order.</t>
  </si>
  <si>
    <t>Prices are in non-increasing numeric order.</t>
  </si>
  <si>
    <t>TC-SORT-005</t>
  </si>
  <si>
    <t>Verify selected sort option is reflected in UI</t>
  </si>
  <si>
    <t>Check selection state and resulting order.</t>
  </si>
  <si>
    <t>Functional / Usability</t>
  </si>
  <si>
    <t>1. Select each available sort option in turn.
2. Observe selected option.
3. Verify product order after each selection.</t>
  </si>
  <si>
    <t>All available sort options</t>
  </si>
  <si>
    <t>The control reflects the selected option and the list order corresponds to it.</t>
  </si>
  <si>
    <t>TC-SORT-006</t>
  </si>
  <si>
    <t>Switch repeatedly between sort options</t>
  </si>
  <si>
    <t>Check repeated sort changes do not corrupt the list.</t>
  </si>
  <si>
    <t>1. Select name ascending.
2. Select price descending.
3. Select name descending.
4. Compare each resulting order to expected order.</t>
  </si>
  <si>
    <t>Available sort options</t>
  </si>
  <si>
    <t>Each change produces the correct order with no missing or duplicated product cards.</t>
  </si>
  <si>
    <t>TC-SORT-007</t>
  </si>
  <si>
    <t>Verify price sorting uses numeric rather than text order</t>
  </si>
  <si>
    <t>Check numerical sorting correctness.</t>
  </si>
  <si>
    <t>Boundary / Functional</t>
  </si>
  <si>
    <t>1. Select each price sort option.
2. Extract displayed numeric prices.
3. Compare values numerically, not lexicographically.</t>
  </si>
  <si>
    <t>Displayed prices</t>
  </si>
  <si>
    <t>Prices are ordered by numeric value.</t>
  </si>
  <si>
    <t>TC-DETAIL-001</t>
  </si>
  <si>
    <t>Product details</t>
  </si>
  <si>
    <t>Verify product name and price on details page</t>
  </si>
  <si>
    <t>Check consistency between inventory and details.</t>
  </si>
  <si>
    <t>Functional / Integration</t>
  </si>
  <si>
    <t>1. Record a product name and price from inventory.
2. Open its detail view if available.
3. Compare name and price.</t>
  </si>
  <si>
    <t>Product details match the selected inventory product.</t>
  </si>
  <si>
    <t>REQ-INV-002</t>
  </si>
  <si>
    <t>TC-DETAIL-002</t>
  </si>
  <si>
    <t>Add product from details view</t>
  </si>
  <si>
    <t>Verify add-to-cart works from product details where supported.</t>
  </si>
  <si>
    <t>Functional</t>
  </si>
  <si>
    <t>Product detail view is available.</t>
  </si>
  <si>
    <t>1. Open a product detail.
2. Select Add to cart.
3. Open cart.
4. Verify selected product.</t>
  </si>
  <si>
    <t>One product</t>
  </si>
  <si>
    <t>The correct product appears in cart and cart state updates.</t>
  </si>
  <si>
    <t>TC-DETAIL-003</t>
  </si>
  <si>
    <t>Return to inventory after adding a product</t>
  </si>
  <si>
    <t>Check cart state survives navigation between views.</t>
  </si>
  <si>
    <t>Regression / Integration</t>
  </si>
  <si>
    <t>A product detail view is available.</t>
  </si>
  <si>
    <t>1. Add a product from details.
2. Return to inventory.
3. Inspect the product action and cart badge.
4. Open cart to verify selection.</t>
  </si>
  <si>
    <t>Navigation works and selected product state is consistent across relevant views.</t>
  </si>
  <si>
    <t>TC-DETAIL-004</t>
  </si>
  <si>
    <t>Keyboard access to product detail</t>
  </si>
  <si>
    <t>Check keyboard navigation for product detail controls.</t>
  </si>
  <si>
    <t>1. Use keyboard to focus a product name or image link.
2. Activate it.
3. Inspect focus and destination.</t>
  </si>
  <si>
    <t>Product details are reachable and operable via keyboard where the control is intended to be interactive.</t>
  </si>
  <si>
    <t>TC-CART-001</t>
  </si>
  <si>
    <t>Cart</t>
  </si>
  <si>
    <t>Open cart with no products</t>
  </si>
  <si>
    <t>Verify empty cart state.</t>
  </si>
  <si>
    <t>1. Ensure no products are selected in a fresh session or remove all selected products.
2. Open cart.
3. Inspect contents and available actions.</t>
  </si>
  <si>
    <t>Empty cart</t>
  </si>
  <si>
    <t>Cart shows no products and does not display stale items.</t>
  </si>
  <si>
    <t>REQ-CART-002</t>
  </si>
  <si>
    <t>TC-CART-002</t>
  </si>
  <si>
    <t>Add one product and verify cart contents</t>
  </si>
  <si>
    <t>Verify selected product appears in cart.</t>
  </si>
  <si>
    <t>1. Add one product from inventory.
2. Open cart.
3. Verify product name and price.</t>
  </si>
  <si>
    <t>One selected product</t>
  </si>
  <si>
    <t>Cart displays the selected product and its expected visible details.</t>
  </si>
  <si>
    <t>TC-CART-003</t>
  </si>
  <si>
    <t>Remove a product from cart</t>
  </si>
  <si>
    <t>Verify cart removal action.</t>
  </si>
  <si>
    <t>At least one product is in cart.</t>
  </si>
  <si>
    <t>1. Open cart.
2. Select Remove for the product.
3. Verify the product is no longer displayed.
4. Check cart indicator if present.</t>
  </si>
  <si>
    <t>Removed product is absent from cart and UI state updates.</t>
  </si>
  <si>
    <t>TC-CART-004</t>
  </si>
  <si>
    <t>Cart badge matches selected item count</t>
  </si>
  <si>
    <t>Verify cart indicator consistency.</t>
  </si>
  <si>
    <t>Data consistency</t>
  </si>
  <si>
    <t>1. Start with empty cart.
2. Add one product and note badge.
3. Add a second product.
4. Remove one product.
5. Compare badge to selected items.</t>
  </si>
  <si>
    <t>0, 1, and 2 selected products</t>
  </si>
  <si>
    <t>Badge/indicator reflects the current cart state according to the application's behavior.</t>
  </si>
  <si>
    <t>TC-CART-005</t>
  </si>
  <si>
    <t>Add multiple products and verify all entries</t>
  </si>
  <si>
    <t>Check distinct selections are represented correctly.</t>
  </si>
  <si>
    <t>1. Add at least three distinct products if available.
2. Open cart.
3. Compare listed products to selections.</t>
  </si>
  <si>
    <t>Three distinct products</t>
  </si>
  <si>
    <t>Each selected product appears once with correct visible details.</t>
  </si>
  <si>
    <t>TC-CART-006</t>
  </si>
  <si>
    <t>Remove one of multiple products</t>
  </si>
  <si>
    <t>Verify removal does not remove other products.</t>
  </si>
  <si>
    <t>Boundary / Regression</t>
  </si>
  <si>
    <t>At least two distinct products are in cart.</t>
  </si>
  <si>
    <t>1. Open cart.
2. Remove one selected product.
3. Verify removed product is absent.
4. Verify remaining products are unchanged.</t>
  </si>
  <si>
    <t>Two or more products</t>
  </si>
  <si>
    <t>Only the targeted product is removed; remaining products stay in cart.</t>
  </si>
  <si>
    <t>TC-CART-007</t>
  </si>
  <si>
    <t>Continue shopping from cart</t>
  </si>
  <si>
    <t>Verify return to inventory.</t>
  </si>
  <si>
    <t>Navigation / Usability</t>
  </si>
  <si>
    <t>Cart page is open.</t>
  </si>
  <si>
    <t>1. Select the continue-shopping control if available.
2. Verify inventory is displayed.
3. Reopen cart and verify state.</t>
  </si>
  <si>
    <t>Existing cart selection</t>
  </si>
  <si>
    <t>User returns to inventory and existing cart selections remain consistent.</t>
  </si>
  <si>
    <t>TC-CART-008</t>
  </si>
  <si>
    <t>Proceed to checkout from cart</t>
  </si>
  <si>
    <t>Verify checkout progression for a non-empty cart.</t>
  </si>
  <si>
    <t>End-to-end</t>
  </si>
  <si>
    <t>1. Open cart.
2. Select Checkout.
3. Verify checkout information page.</t>
  </si>
  <si>
    <t>Checkout information page opens and cart selection is retained.</t>
  </si>
  <si>
    <t>REQ-CHECK-001</t>
  </si>
  <si>
    <t>RISK-05</t>
  </si>
  <si>
    <t>TC-CART-009</t>
  </si>
  <si>
    <t>Refresh cart page</t>
  </si>
  <si>
    <t>Explore state after refresh.</t>
  </si>
  <si>
    <t>Exploratory / Regression</t>
  </si>
  <si>
    <t>1. Open cart.
2. Refresh browser.
3. Record whether cart content and badge persist.
4. Compare behavior with observed application rules.</t>
  </si>
  <si>
    <t>Behavior is recorded accurately; any inconsistency with confirmed product expectations is documented with evidence.</t>
  </si>
  <si>
    <t>TC-CART-010</t>
  </si>
  <si>
    <t>Keyboard access to cart actions</t>
  </si>
  <si>
    <t>Check keyboard operability.</t>
  </si>
  <si>
    <t>Cart contains at least one product.</t>
  </si>
  <si>
    <t>1. Use keyboard to navigate to cart.
2. Focus Remove and Checkout/continue controls.
3. Activate relevant controls with keyboard.
4. Observe focus and outcome.</t>
  </si>
  <si>
    <t>Core cart actions are keyboard reachable and operable, with focus feedback where applicable.</t>
  </si>
  <si>
    <t>TC-CHECK-001</t>
  </si>
  <si>
    <t>Checkout</t>
  </si>
  <si>
    <t>Proceed with valid customer information</t>
  </si>
  <si>
    <t>Verify valid checkout form can progress.</t>
  </si>
  <si>
    <t>1. Select Checkout.
2. Enter valid values in required fields.
3. Select Continue.
4. Verify order overview.</t>
  </si>
  <si>
    <t>Synthetic first name, last name and postal code accepted by demo</t>
  </si>
  <si>
    <t>User progresses to order overview without validation errors.</t>
  </si>
  <si>
    <t>TC-CHECK-002</t>
  </si>
  <si>
    <t>Submit checkout with all fields empty</t>
  </si>
  <si>
    <t>Verify required-field validation.</t>
  </si>
  <si>
    <t>Cart contains at least one product and checkout information page is open.</t>
  </si>
  <si>
    <t>1. Leave all checkout fields empty.
2. Select Continue.
3. Inspect validation message and page state.</t>
  </si>
  <si>
    <t>All fields empty</t>
  </si>
  <si>
    <t>Progression is blocked and useful validation feedback is displayed.</t>
  </si>
  <si>
    <t>REQ-CHECK-002</t>
  </si>
  <si>
    <t>TC-CHECK-003</t>
  </si>
  <si>
    <t>Submit checkout with first name missing</t>
  </si>
  <si>
    <t>Verify first-name validation.</t>
  </si>
  <si>
    <t>Checkout information page is open.</t>
  </si>
  <si>
    <t>1. Leave first name empty.
2. Fill other required fields.
3. Select Continue.</t>
  </si>
  <si>
    <t>First name empty; other fields populated</t>
  </si>
  <si>
    <t>Progression is blocked and the missing field is identified appropriately.</t>
  </si>
  <si>
    <t>TC-CHECK-004</t>
  </si>
  <si>
    <t>Submit checkout with last name missing</t>
  </si>
  <si>
    <t>Verify last-name validation.</t>
  </si>
  <si>
    <t>1. Fill first name and postal code.
2. Leave last name empty.
3. Select Continue.</t>
  </si>
  <si>
    <t>Last name empty</t>
  </si>
  <si>
    <t>TC-CHECK-005</t>
  </si>
  <si>
    <t>Submit checkout with postal code missing</t>
  </si>
  <si>
    <t>Verify postal-code validation.</t>
  </si>
  <si>
    <t>1. Fill first and last name.
2. Leave postal code empty.
3. Select Continue.</t>
  </si>
  <si>
    <t>Postal code empty</t>
  </si>
  <si>
    <t>TC-CHECK-006</t>
  </si>
  <si>
    <t>Verify checkout error recovery</t>
  </si>
  <si>
    <t>Verify user can correct missing information.</t>
  </si>
  <si>
    <t>1. Submit with a required field missing.
2. Record validation feedback.
3. Fill the missing field.
4. Submit again.</t>
  </si>
  <si>
    <t>Initially one required field missing; then all required fields populated</t>
  </si>
  <si>
    <t>User can correct input and progress successfully.</t>
  </si>
  <si>
    <t>TC-CHECK-007</t>
  </si>
  <si>
    <t>Verify checkout data is retained after validation error</t>
  </si>
  <si>
    <t>Check valid fields remain populated after validation response.</t>
  </si>
  <si>
    <t>Usability / Regression</t>
  </si>
  <si>
    <t>1. Fill some fields and leave one required field empty.
2. Submit.
3. Inspect previously completed fields.</t>
  </si>
  <si>
    <t>Synthetic checkout data</t>
  </si>
  <si>
    <t>Previously entered valid data remains available unless the application's documented behavior specifies otherwise; unexpected loss is recorded.</t>
  </si>
  <si>
    <t>TC-CHECK-008</t>
  </si>
  <si>
    <t>Verify checkout can be cancelled or exited</t>
  </si>
  <si>
    <t>Check available cancel/back navigation.</t>
  </si>
  <si>
    <t>1. Select Cancel or the available return control.
2. Verify destination.
3. Reopen cart and inspect selected products.</t>
  </si>
  <si>
    <t>One product in cart</t>
  </si>
  <si>
    <t>User returns to the expected prior page and cart state remains consistent where expected.</t>
  </si>
  <si>
    <t>TC-CHECK-009</t>
  </si>
  <si>
    <t>Keyboard-only checkout information entry</t>
  </si>
  <si>
    <t>Check keyboard operation of form.</t>
  </si>
  <si>
    <t>1. Use Tab to navigate fields.
2. Enter synthetic data.
3. Submit using keyboard.
4. Observe focus order and feedback.</t>
  </si>
  <si>
    <t>Fields and submit action are keyboard operable with understandable focus behavior.</t>
  </si>
  <si>
    <t>TC-CHECK-010</t>
  </si>
  <si>
    <t>Check long and special-character input behavior</t>
  </si>
  <si>
    <t>Explore input handling without injecting unsafe payloads.</t>
  </si>
  <si>
    <t>Boundary / Exploratory</t>
  </si>
  <si>
    <t>1. Enter a long but reasonable name value.
2. Enter punctuation supported by ordinary names.
3. Submit with other required fields populated.
4. Record acceptance, truncation or validation.</t>
  </si>
  <si>
    <t>Synthetic non-sensitive strings</t>
  </si>
  <si>
    <t>Input is handled consistently and no layout break or unexpected crash occurs; actual rules are recorded rather than assumed.</t>
  </si>
  <si>
    <t>TC-ORDER-001</t>
  </si>
  <si>
    <t>Order overview</t>
  </si>
  <si>
    <t>Verify overview includes selected products</t>
  </si>
  <si>
    <t>Validate product consistency at final review.</t>
  </si>
  <si>
    <t>Integration / Data consistency</t>
  </si>
  <si>
    <t>At least one product is in cart and checkout information has been completed.</t>
  </si>
  <si>
    <t>1. Continue to order overview.
2. Compare product names and prices to cart selections.
3. Record displayed summary.</t>
  </si>
  <si>
    <t>Known selected products</t>
  </si>
  <si>
    <t>Order overview represents the same selected products with matching displayed details.</t>
  </si>
  <si>
    <t>REQ-ORDER-001</t>
  </si>
  <si>
    <t>RISK-06</t>
  </si>
  <si>
    <t>TC-ORDER-002</t>
  </si>
  <si>
    <t>Verify displayed subtotal arithmetic</t>
  </si>
  <si>
    <t>Check subtotal against displayed product prices where subtotal exists.</t>
  </si>
  <si>
    <t>Boundary / Data consistency</t>
  </si>
  <si>
    <t>Order overview displays item prices and subtotal.</t>
  </si>
  <si>
    <t>1. Record all displayed item prices.
2. Calculate expected subtotal independently.
3. Compare with displayed subtotal.</t>
  </si>
  <si>
    <t>Displayed item prices</t>
  </si>
  <si>
    <t>Subtotal matches the sum of displayed item prices, subject to the UI's stated calculation rules.</t>
  </si>
  <si>
    <t>TC-ORDER-003</t>
  </si>
  <si>
    <t>Verify displayed tax and total arithmetic</t>
  </si>
  <si>
    <t>Check visible total calculation if tax/total is displayed.</t>
  </si>
  <si>
    <t>Order overview displays applicable subtotal, tax and total.</t>
  </si>
  <si>
    <t>1. Record subtotal, tax and total.
2. Calculate expected total using displayed values.
3. Compare against displayed total.</t>
  </si>
  <si>
    <t>Displayed summary amounts</t>
  </si>
  <si>
    <t>Displayed arithmetic is internally consistent. Do not infer actual payment processing.</t>
  </si>
  <si>
    <t>TC-ORDER-004</t>
  </si>
  <si>
    <t>Navigate back from overview</t>
  </si>
  <si>
    <t>Verify back navigation does not unexpectedly lose checkout/cart context.</t>
  </si>
  <si>
    <t>Regression / Navigation</t>
  </si>
  <si>
    <t>Order overview is open.</t>
  </si>
  <si>
    <t>1. Select the available back/cancel control.
2. Inspect destination and retained state.
3. Return to overview if possible.</t>
  </si>
  <si>
    <t>Existing cart and checkout data</t>
  </si>
  <si>
    <t>Navigation follows the application's behavior without unexpected loss or duplication; deviations are recorded.</t>
  </si>
  <si>
    <t>TC-ORDER-005</t>
  </si>
  <si>
    <t>Verify overview layout and readable error/summary text</t>
  </si>
  <si>
    <t>Check presentation of final review information.</t>
  </si>
  <si>
    <t>1. Inspect headings, item details, totals and buttons.
2. Check clipping, overlap and readability at default and narrower viewport.</t>
  </si>
  <si>
    <t>Key order information and actions are readable and usable.</t>
  </si>
  <si>
    <t>TC-ORDER-006</t>
  </si>
  <si>
    <t>Order completion</t>
  </si>
  <si>
    <t>Complete a valid order</t>
  </si>
  <si>
    <t>Verify supported order completion flow.</t>
  </si>
  <si>
    <t>A valid checkout journey has reached the order overview.</t>
  </si>
  <si>
    <t>1. Review order overview.
2. Select the final completion action.
3. Wait for the result page.
4. Verify confirmation content.</t>
  </si>
  <si>
    <t>Valid cart and synthetic checkout data</t>
  </si>
  <si>
    <t>Application displays its order completion/confirmation state. This does not prove a real payment occurred.</t>
  </si>
  <si>
    <t>REQ-ORDER-002</t>
  </si>
  <si>
    <t>TC-ORDER-007</t>
  </si>
  <si>
    <t>Verify confirmation state is understandable</t>
  </si>
  <si>
    <t>Check confirmation messaging and next action.</t>
  </si>
  <si>
    <t>Order completion state is displayed.</t>
  </si>
  <si>
    <t>1. Inspect confirmation heading/message.
2. Check whether a return-to-products or equivalent action is available.
3. Activate it if appropriate.</t>
  </si>
  <si>
    <t>Completed demo order</t>
  </si>
  <si>
    <t>Completion state clearly communicates the demo order outcome and available next action.</t>
  </si>
  <si>
    <t>TC-ORDER-008</t>
  </si>
  <si>
    <t>Verify cart/order state after completion</t>
  </si>
  <si>
    <t>Explore post-completion state.</t>
  </si>
  <si>
    <t>Regression / Exploratory</t>
  </si>
  <si>
    <t>A demo order has been completed.</t>
  </si>
  <si>
    <t>1. Inspect cart indicator if visible.
2. Return to inventory if possible.
3. Reopen cart if supported.
4. Record whether completed items remain.</t>
  </si>
  <si>
    <t>Post-completion state follows observed application behavior; unexpected stale cart content is captured for review.</t>
  </si>
  <si>
    <t>TC-ORDER-009</t>
  </si>
  <si>
    <t>Prevent duplicate completion through repeated clicks</t>
  </si>
  <si>
    <t>Explore repeated completion interaction safely in demo.</t>
  </si>
  <si>
    <t>Order overview is open before completing a demo order.</t>
  </si>
  <si>
    <t>1. Activate the final completion control once.
2. Observe whether it becomes unavailable or navigation occurs.
3. Do not issue automated rapid-fire requests; record the UI's response to ordinary repeated interaction if possible.</t>
  </si>
  <si>
    <t>One demo order</t>
  </si>
  <si>
    <t>The UI avoids confusing duplicate actions or clearly handles repeated interaction; no claim about backend idempotency without service evidence.</t>
  </si>
  <si>
    <t>TC-REG-001</t>
  </si>
  <si>
    <t>Complete primary login-to-order journey</t>
  </si>
  <si>
    <t>Verify the critical end-to-end path.</t>
  </si>
  <si>
    <t>End-to-end / Regression</t>
  </si>
  <si>
    <t>1. Log in.
2. Add two products.
3. Open cart and verify items.
4. Proceed to checkout.
5. Enter required data.
6. Verify order overview.
7. Complete order and verify confirmation.</t>
  </si>
  <si>
    <t>Supported demo account; two products; synthetic checkout values</t>
  </si>
  <si>
    <t>The supported purchase journey completes and each transition preserves the expected selected product state.</t>
  </si>
  <si>
    <t>TC-REG-002</t>
  </si>
  <si>
    <t>Verify each cart action after repeated navigation</t>
  </si>
  <si>
    <t>Check cart state across inventory/cart transitions.</t>
  </si>
  <si>
    <t>1. Add a product.
2. Open cart.
3. Continue shopping.
4. Add another product.
5. Reopen cart and remove one item.
6. Verify final contents.</t>
  </si>
  <si>
    <t>Two products</t>
  </si>
  <si>
    <t>Cart content and indicator stay consistent across the navigation sequence.</t>
  </si>
  <si>
    <t>TC-REG-003</t>
  </si>
  <si>
    <t>Verify sort state and cart selection are independent</t>
  </si>
  <si>
    <t>Check sorting does not alter selected product identity.</t>
  </si>
  <si>
    <t>1. Add a product to cart.
2. Change sort option.
3. Add another product.
4. Open cart and compare product identities.</t>
  </si>
  <si>
    <t>Two distinct products</t>
  </si>
  <si>
    <t>Sorting changes display order only and does not change product identities already selected.</t>
  </si>
  <si>
    <t>TC-REG-004</t>
  </si>
  <si>
    <t>Verify application behavior after page refresh</t>
  </si>
  <si>
    <t>Explore session and page state behavior.</t>
  </si>
  <si>
    <t>1. Log in.
2. Record inventory state and cart selection.
3. Refresh page.
4. Record authentication, inventory and cart state.</t>
  </si>
  <si>
    <t>Observed state is recorded and compared against confirmed demo behavior; no unverified persistence assumption is treated as a defect.</t>
  </si>
  <si>
    <t>TC-REG-005</t>
  </si>
  <si>
    <t>Verify browser back and forward navigation</t>
  </si>
  <si>
    <t>Check navigation history behavior.</t>
  </si>
  <si>
    <t>1. Log in and open inventory.
2. Navigate to cart.
3. Use browser Back and Forward.
4. Inspect page content and selected product state.</t>
  </si>
  <si>
    <t>Navigation remains coherent and does not display broken or contradictory state.</t>
  </si>
  <si>
    <t>TC-REG-006</t>
  </si>
  <si>
    <t>Verify session handling after logout or session-ending action</t>
  </si>
  <si>
    <t>Check logout/session behavior if supported by the demo UI.</t>
  </si>
  <si>
    <t>Security-oriented / Regression</t>
  </si>
  <si>
    <t>1. Open the application menu.
2. Use the logout action if available.
3. Attempt to navigate back to a protected page.
4. Record resulting behavior.</t>
  </si>
  <si>
    <t>Supported demo account</t>
  </si>
  <si>
    <t>The application returns to an unauthenticated state as expected by the demo behavior; do not infer broader security assurance.</t>
  </si>
  <si>
    <t>TC-REG-007</t>
  </si>
  <si>
    <t>Verify no unexpected duplicate product cards after sort and navigation</t>
  </si>
  <si>
    <t>Check list integrity across common actions.</t>
  </si>
  <si>
    <t>1. Record initial product names.
2. Change sorting.
3. Navigate to details and back if supported.
4. Compare visible product set.</t>
  </si>
  <si>
    <t>Current product list</t>
  </si>
  <si>
    <t>No product is unexpectedly duplicated or omitted as a result of navigation/sorting.</t>
  </si>
  <si>
    <t>TC-REG-008</t>
  </si>
  <si>
    <t>Verify core flow with a fresh browser context</t>
  </si>
  <si>
    <t>Check isolation of session and cart state.</t>
  </si>
  <si>
    <t>Regression / Automation</t>
  </si>
  <si>
    <t>Playwright or browser can open a new isolated context.</t>
  </si>
  <si>
    <t>1. Start a fresh browser context.
2. Open login page.
3. Verify initial unauthenticated state.
4. Log in and run a basic cart action.
5. Close context.</t>
  </si>
  <si>
    <t>Test starts from a known clean browser state and does not rely on data from a prior test.</t>
  </si>
  <si>
    <t>REQ-AUTO-001</t>
  </si>
  <si>
    <t>RISK-09</t>
  </si>
  <si>
    <t>TC-REG-009</t>
  </si>
  <si>
    <t>Verify critical journey in a second supported browser</t>
  </si>
  <si>
    <t>Cross-browser check where the browser is supported.</t>
  </si>
  <si>
    <t>Cross-browser / Regression</t>
  </si>
  <si>
    <t>Playwright browser projects are configured and supported.</t>
  </si>
  <si>
    <t>1. Run the primary smoke journey in a second configured browser.
2. Capture browser/version.
3. Compare result with baseline.</t>
  </si>
  <si>
    <t>Critical flow behaves consistently across configured browsers, or a reproducible compatibility issue is documented.</t>
  </si>
  <si>
    <t>TC-REG-010</t>
  </si>
  <si>
    <t>Verify CI produces test results and failure artifacts</t>
  </si>
  <si>
    <t>Validate portfolio automation pipeline.</t>
  </si>
  <si>
    <t>CI / Regression</t>
  </si>
  <si>
    <t>GitHub repository and Actions workflow are configured.</t>
  </si>
  <si>
    <t>1. Trigger workflow through a push or pull request.
2. Verify job steps.
3. Open test summary.
4. Confirm report/artifacts are retained on success and failure as configured.</t>
  </si>
  <si>
    <t>CI workflow run</t>
  </si>
  <si>
    <t>Workflow reports actual results and retains configured diagnostic artifacts; no fabricated pass status.</t>
  </si>
  <si>
    <t>REQ-CI-001</t>
  </si>
  <si>
    <t>TC-A11Y-001</t>
  </si>
  <si>
    <t>Verify visible focus on primary controls</t>
  </si>
  <si>
    <t>Check keyboard focus visibility.</t>
  </si>
  <si>
    <t>1. Use Tab through login controls.
2. Observe focus indicator on each interactive element.
3. Repeat on inventory/cart where possible.</t>
  </si>
  <si>
    <t>Keyboard focus is visible enough to identify the current interactive control; record any exceptions.</t>
  </si>
  <si>
    <t>TC-A11Y-002</t>
  </si>
  <si>
    <t>Verify form fields have understandable accessible names</t>
  </si>
  <si>
    <t>Check form field identification with browser accessibility tools where available.</t>
  </si>
  <si>
    <t>Login and checkout pages are accessible.</t>
  </si>
  <si>
    <t>1. Inspect login and checkout fields with browser accessibility tree/devtools.
2. Record accessible names and associated labels.
3. Note ambiguous or missing names.</t>
  </si>
  <si>
    <t>Interactive fields expose understandable names to assistive technology where expected; this is a lightweight check, not a full audit.</t>
  </si>
  <si>
    <t>TC-EXP-001</t>
  </si>
  <si>
    <t>Exploratory</t>
  </si>
  <si>
    <t>Explore cart state across multiple navigation paths</t>
  </si>
  <si>
    <t>Discover unexpected state transitions.</t>
  </si>
  <si>
    <t>1. Add and remove different products.
2. Navigate inventory → cart → inventory.
3. Refresh at selected points.
4. Record state after each action.</t>
  </si>
  <si>
    <t>One to three products</t>
  </si>
  <si>
    <t>Unexpected state changes are documented with exact reproduction steps and screenshots.</t>
  </si>
  <si>
    <t>TC-EXP-002</t>
  </si>
  <si>
    <t>Explore recovery from interrupted checkout navigation</t>
  </si>
  <si>
    <t>Check user recovery after leaving a checkout step.</t>
  </si>
  <si>
    <t>Exploratory / Usability</t>
  </si>
  <si>
    <t>1. Enter checkout information.
2. Use available cancel/back controls.
3. Return to checkout.
4. Record retained values and cart state.</t>
  </si>
  <si>
    <t>The observed recovery behavior is documented; unexpected data loss or inconsistent state is raised for review.</t>
  </si>
  <si>
    <t>TC-EXP-003</t>
  </si>
  <si>
    <t>Explore error-message clarity and dismissal</t>
  </si>
  <si>
    <t>Review feedback quality across login and checkout.</t>
  </si>
  <si>
    <t>Login page and checkout flow are accessible.</t>
  </si>
  <si>
    <t>1. Trigger a login error.
2. Inspect wording, placement and dismissal/recovery behavior.
3. Trigger a checkout validation error.
4. Compare feedback clarity.</t>
  </si>
  <si>
    <t>Invalid login; missing checkout field</t>
  </si>
  <si>
    <t>Messages identify the problem sufficiently for the user to recover; record exact observed text.</t>
  </si>
  <si>
    <t>Risk Title</t>
  </si>
  <si>
    <t>Description / Impact</t>
  </si>
  <si>
    <t>Likelihood</t>
  </si>
  <si>
    <t>Impact</t>
  </si>
  <si>
    <t>Risk Rating</t>
  </si>
  <si>
    <t>Mitigation / Test Approach</t>
  </si>
  <si>
    <t>Owner / Notes</t>
  </si>
  <si>
    <t>Authentication flow failure</t>
  </si>
  <si>
    <t>Users cannot log in or receive misleading feedback for invalid credentials.</t>
  </si>
  <si>
    <t>High</t>
  </si>
  <si>
    <t>Medium</t>
  </si>
  <si>
    <t>Cover valid, invalid and incomplete login scenarios; record persona used; assert meaningful destination/error state.</t>
  </si>
  <si>
    <t>Inventory/product information incorrect or unavailable</t>
  </si>
  <si>
    <t>User cannot browse or identify the intended product.</t>
  </si>
  <si>
    <t>Validate inventory visibility, key product details, navigation, and data consistency.</t>
  </si>
  <si>
    <t>Sorting behavior incorrect</t>
  </si>
  <si>
    <t>Products are ordered incorrectly or labels do not match behavior.</t>
  </si>
  <si>
    <t>Verify each exposed sort option with independently computed expected order and tie-aware assertions.</t>
  </si>
  <si>
    <t>Cart state inconsistency</t>
  </si>
  <si>
    <t>Added/removed products, cart badge, and cart contents disagree.</t>
  </si>
  <si>
    <t>Test add/remove, empty cart, multiple products, badge counts and navigation across cart views.</t>
  </si>
  <si>
    <t>Checkout validation or progression failure</t>
  </si>
  <si>
    <t>User cannot proceed with valid data or can proceed with incomplete required data.</t>
  </si>
  <si>
    <t>Test each required field independently and validate error feedback and successful progression.</t>
  </si>
  <si>
    <t>Order overview/completion inconsistency</t>
  </si>
  <si>
    <t>Order summary differs from selected products or confirmation is not shown.</t>
  </si>
  <si>
    <t>Compare selected products with overview and verify completion state; do not infer backend payment success.</t>
  </si>
  <si>
    <t>Navigation/state regression</t>
  </si>
  <si>
    <t>Back, refresh or return actions cause stale state, broken navigation or duplicated UI.</t>
  </si>
  <si>
    <t>Explore refresh/back behavior and re-run cross-module regression after relevant changes.</t>
  </si>
  <si>
    <t>Usability/accessibility barrier</t>
  </si>
  <si>
    <t>Keyboard users or users relying on visible labels/focus feedback cannot complete core flows easily.</t>
  </si>
  <si>
    <t>Run keyboard-only checks, focus checks, error-message checks and lightweight semantic inspection.</t>
  </si>
  <si>
    <t>Automation/CI false confidence</t>
  </si>
  <si>
    <t>Tests are flaky, poorly isolated, or CI failures are not diagnosable.</t>
  </si>
  <si>
    <t>Use resilient locators, isolated tests, web-first assertions, traces/screenshots, documented retries and CI artifacts.</t>
  </si>
  <si>
    <t>RISK-10</t>
  </si>
  <si>
    <t>Third-party demo instability or behavior changes</t>
  </si>
  <si>
    <t>External changes/network failures are misreported as application defects.</t>
  </si>
  <si>
    <t>Record environment and timestamp, retry manually only for diagnosis, distinguish app failures from environment/test failures.</t>
  </si>
  <si>
    <t>Requirement / Test Objective</t>
  </si>
  <si>
    <t>Requirement Status</t>
  </si>
  <si>
    <t>Mapped Test Case IDs</t>
  </si>
  <si>
    <t>Automation Status</t>
  </si>
  <si>
    <t>A supported demo user can authenticate with valid credentials.</t>
  </si>
  <si>
    <t>Observed behavior to confirm</t>
  </si>
  <si>
    <t>TC-AUTH-001, TC-REG-006</t>
  </si>
  <si>
    <t>Invalid or incomplete login attempts are handled with clear feedback.</t>
  </si>
  <si>
    <t>Negative/Usability</t>
  </si>
  <si>
    <t>Expected behavior to validate</t>
  </si>
  <si>
    <t>TC-AUTH-002, TC-AUTH-003, TC-AUTH-004, TC-AUTH-005, TC-AUTH-006, TC-AUTH-007, TC-AUTH-008, TC-AUTH-009, TC-EXP-003</t>
  </si>
  <si>
    <t>Authenticated user can view the inventory page and product cards.</t>
  </si>
  <si>
    <t>TC-INV-001, TC-INV-002, TC-INV-007, TC-INV-008, TC-REG-007</t>
  </si>
  <si>
    <t>Product information is displayed consistently across inventory and details views where available.</t>
  </si>
  <si>
    <t>Functional/Integration</t>
  </si>
  <si>
    <t>Validate against displayed data</t>
  </si>
  <si>
    <t>Each exposed sort option orders the products according to its label.</t>
  </si>
  <si>
    <t>Functional/Boundary</t>
  </si>
  <si>
    <t>Options to be confirmed in live UI</t>
  </si>
  <si>
    <t>TC-SORT-001, TC-SORT-002, TC-SORT-003, TC-SORT-004, TC-SORT-005, TC-SORT-006, TC-SORT-007, TC-REG-003</t>
  </si>
  <si>
    <t>User can open a product detail view and return to inventory where supported.</t>
  </si>
  <si>
    <t>Functional/Navigation</t>
  </si>
  <si>
    <t>Availability to confirm</t>
  </si>
  <si>
    <t>TC-INV-003, TC-INV-004</t>
  </si>
  <si>
    <t>User can add a product and see it represented in cart state.</t>
  </si>
  <si>
    <t>TC-INV-005, TC-DETAIL-002, TC-CART-002, TC-CART-005</t>
  </si>
  <si>
    <t>User can remove a selected product and cart state updates correctly.</t>
  </si>
  <si>
    <t>TC-CART-001, TC-CART-003, TC-CART-006</t>
  </si>
  <si>
    <t>Cart contents and badge reflect the selected products consistently.</t>
  </si>
  <si>
    <t>Expected UI consistency</t>
  </si>
  <si>
    <t>TC-INV-006, TC-CART-004, TC-REG-002, TC-EXP-001</t>
  </si>
  <si>
    <t>User can proceed to checkout from a non-empty cart.</t>
  </si>
  <si>
    <t>TC-CART-008, TC-CHECK-001</t>
  </si>
  <si>
    <t>Required customer fields are validated before progression.</t>
  </si>
  <si>
    <t>Negative/Validation</t>
  </si>
  <si>
    <t>Field rules to confirm</t>
  </si>
  <si>
    <t>TC-CHECK-002, TC-CHECK-003, TC-CHECK-004, TC-CHECK-005, TC-CHECK-006, TC-CHECK-007, TC-CHECK-010</t>
  </si>
  <si>
    <t>Order overview reflects the products selected for checkout.</t>
  </si>
  <si>
    <t>Critical</t>
  </si>
  <si>
    <t>Displayed data to validate</t>
  </si>
  <si>
    <t>TC-ORDER-001, TC-ORDER-002, TC-ORDER-003, TC-ORDER-005</t>
  </si>
  <si>
    <t>User can complete the supported order flow and sees a confirmation state.</t>
  </si>
  <si>
    <t>TC-ORDER-006, TC-ORDER-007, TC-ORDER-009, TC-REG-001</t>
  </si>
  <si>
    <t>Navigation</t>
  </si>
  <si>
    <t>Back, return, and refresh actions do not produce unexpected navigation or stale UI state.</t>
  </si>
  <si>
    <t>Regression/Usability</t>
  </si>
  <si>
    <t>Behavior to explore</t>
  </si>
  <si>
    <t>TC-INV-010, TC-DETAIL-003, TC-CART-007, TC-CART-009, TC-CHECK-008, TC-ORDER-004, TC-ORDER-008, TC-REG-004, TC-REG-005, TC-EXP-002</t>
  </si>
  <si>
    <t>Core flows can be navigated with keyboard and show meaningful focus/validation feedback.</t>
  </si>
  <si>
    <t>Accessibility/Usability</t>
  </si>
  <si>
    <t>Lightweight checks only</t>
  </si>
  <si>
    <t>TC-AUTH-010, TC-INV-009, TC-DETAIL-004, TC-CART-010, TC-CHECK-009, TC-A11Y-001, TC-A11Y-002</t>
  </si>
  <si>
    <t>Automation</t>
  </si>
  <si>
    <t>Critical scenarios run through Playwright with deterministic assertions and useful failure evidence.</t>
  </si>
  <si>
    <t>Project requirement</t>
  </si>
  <si>
    <t>TC-REG-008, TC-REG-009</t>
  </si>
  <si>
    <t>CI/CD</t>
  </si>
  <si>
    <t>Automated checks run in GitHub Actions and preserve test results.</t>
  </si>
  <si>
    <t>CI/Regression</t>
  </si>
  <si>
    <t>Charter ID</t>
  </si>
  <si>
    <t>Area</t>
  </si>
  <si>
    <t>Timebox</t>
  </si>
  <si>
    <t>Mission</t>
  </si>
  <si>
    <t>Setup / Data</t>
  </si>
  <si>
    <t>Ideas / Risks to Explore</t>
  </si>
  <si>
    <t>Evidence to Capture</t>
  </si>
  <si>
    <t>Constraints / Notes</t>
  </si>
  <si>
    <t>Outcome</t>
  </si>
  <si>
    <t>Defect IDs</t>
  </si>
  <si>
    <t>EXP-01</t>
  </si>
  <si>
    <t>Authentication and persona behavior</t>
  </si>
  <si>
    <t>20–30 minutes</t>
  </si>
  <si>
    <t>Explore how supported demo personas behave during successful and unsuccessful authentication.</t>
  </si>
  <si>
    <t>Supported user personas; fresh browser context</t>
  </si>
  <si>
    <t>Login success/failure, persona-specific messages, recovery after error, logout behavior</t>
  </si>
  <si>
    <t>Persona used, exact message, URL/state, screenshot, reproducibility</t>
  </si>
  <si>
    <t>Do not infer production security behavior from demo personas.</t>
  </si>
  <si>
    <t>EXP-02</t>
  </si>
  <si>
    <t>Inventory, product details and sorting</t>
  </si>
  <si>
    <t>25–35 minutes</t>
  </si>
  <si>
    <t>Explore product listing, sort controls, detail navigation and information consistency.</t>
  </si>
  <si>
    <t>Authenticated session</t>
  </si>
  <si>
    <t>Missing/broken product details, incorrect sorting, navigation issues, duplicate/missing entries</t>
  </si>
  <si>
    <t>Initial product list, selected sort, final order, screenshots</t>
  </si>
  <si>
    <t>Treat available sort options as observed facts; do not assume unavailable options.</t>
  </si>
  <si>
    <t>EXP-03</t>
  </si>
  <si>
    <t>Cart state and navigation</t>
  </si>
  <si>
    <t>Explore add/remove actions, cart indicator, empty cart, refresh and continue-shopping navigation.</t>
  </si>
  <si>
    <t>Authenticated session; known initial cart state</t>
  </si>
  <si>
    <t>Badge mismatch, stale contents, incorrect removals, unexpected state after navigation</t>
  </si>
  <si>
    <t>Action sequence, products selected, badge count, cart contents, screenshots</t>
  </si>
  <si>
    <t>UI state does not prove backend persistence.</t>
  </si>
  <si>
    <t>EXP-04</t>
  </si>
  <si>
    <t>Checkout validation and recovery</t>
  </si>
  <si>
    <t>Explore required fields, validation messages, correction after error, and back/cancel navigation.</t>
  </si>
  <si>
    <t>At least one product in cart</t>
  </si>
  <si>
    <t>Unexpected progression with missing data, loss of entered data, confusing feedback, broken navigation</t>
  </si>
  <si>
    <t>Field values used (synthetic), exact error text, before/after screenshots</t>
  </si>
  <si>
    <t>Use only synthetic non-sensitive data.</t>
  </si>
  <si>
    <t>EXP-05</t>
  </si>
  <si>
    <t>Order overview and completion</t>
  </si>
  <si>
    <t>Explore the final review, displayed totals, completion action and confirmation state.</t>
  </si>
  <si>
    <t>Valid cart and checkout data</t>
  </si>
  <si>
    <t>Product mismatch, arithmetic inconsistency, missing confirmation, confusing post-order state</t>
  </si>
  <si>
    <t>Selected items, displayed amounts, confirmation screenshot</t>
  </si>
  <si>
    <t>Do not claim a real payment or backend transaction.</t>
  </si>
  <si>
    <t>EXP-06</t>
  </si>
  <si>
    <t>Keyboard accessibility and usability</t>
  </si>
  <si>
    <t>Navigate core flows using keyboard and inspect focus visibility and error clarity.</t>
  </si>
  <si>
    <t>Login page and supported core flow</t>
  </si>
  <si>
    <t>Keyboard trap, missing focus indicator, inaccessible action, unclear field/error feedback</t>
  </si>
  <si>
    <t>Browser/OS, sequence, affected control, screenshot or accessibility-tree note</t>
  </si>
  <si>
    <t>This is a lightweight review, not a formal WCAG conformance audit.</t>
  </si>
  <si>
    <t>EXP-07</t>
  </si>
  <si>
    <t>Cross-module regression and fresh-session behavior</t>
  </si>
  <si>
    <t>Repeat the critical customer journey and inspect behavior in a fresh browser context.</t>
  </si>
  <si>
    <t>Supported demo account; browser details recorded</t>
  </si>
  <si>
    <t>Session leakage between runs, stale cart, broken back/refresh flow, inconsistent order journey</t>
  </si>
  <si>
    <t>Run identifier, browser/version, step results, traces if automated</t>
  </si>
  <si>
    <t>External demo instability should be investigated before filing a product defect.</t>
  </si>
  <si>
    <t>Metric</t>
  </si>
  <si>
    <t>Value / Guidance</t>
  </si>
  <si>
    <t>Total planned test cases</t>
  </si>
  <si>
    <t>Passed</t>
  </si>
  <si>
    <t>Failed</t>
  </si>
  <si>
    <t>Blocked</t>
  </si>
  <si>
    <t>Executed total</t>
  </si>
  <si>
    <t>Pass rate</t>
  </si>
  <si>
    <t>QA ENVIRONMENT</t>
  </si>
  <si>
    <t>DESKTOP</t>
  </si>
  <si>
    <t>PASS</t>
  </si>
  <si>
    <t>FAIL</t>
  </si>
  <si>
    <t xml:space="preserve">TESTED </t>
  </si>
  <si>
    <t>SD-001, SD-007, SD-009</t>
  </si>
  <si>
    <t>SD-002, SD-008, SD-010, SD-011, SD-014, SD-015, SD-016, SD-017, SD-018, SD-023</t>
  </si>
  <si>
    <t>SD-003, SD-006, SD-007, SD-012, SD-013, SD-020, SD-022, SD-023, SD-024, SD-025</t>
  </si>
  <si>
    <t>Issues identified: checkout can proceed without required last-name data, checkout completes without requesting payment details, empty-cart checkout is possible, and last-name input is mapped to the wrong field. Login validation feedback is also reported as incomplete. Findings are based on the supplied bug sheet, not a separately recorded charter run.</t>
  </si>
  <si>
    <t>SD-001, SD-005, SD-006, SD-019, SD-021</t>
  </si>
  <si>
    <t>SD-004, SD-005, SD-006</t>
  </si>
  <si>
    <t>SD-001, SD-026, SD-027, SD-028</t>
  </si>
  <si>
    <t>SD-004, SD-007, SD-009, SD-011, SD-029</t>
  </si>
  <si>
    <t xml:space="preserve">Issues identified: inconsistent browser-history/session behavior, cart persistence across different accounts, duplicate catalog items, and reported delays during login/navigation. </t>
  </si>
  <si>
    <t xml:space="preserve">Issues identified: incomplete login validation feedback and visual usability/layout defects affecting cart navigation, checkout button placement, and hamburger menu alignment. </t>
  </si>
  <si>
    <t xml:space="preserve">Issues identified: checkout confirmation can be revisited through browser navigation, checkout completes without requesting payment details, and checkout can be completed with an empty cart. </t>
  </si>
  <si>
    <t xml:space="preserve">Issues identified: empty-cart checkout progression, cross-account cart persistence, limits on adding products, unavailable/non-functional remove actions, cart-count mismatch, and product-specific cart actions. </t>
  </si>
  <si>
    <t>Issues identified: unexpected product text/images, non-functional sorting/filtering, duplicate catalog entries, incorrect product-detail mapping, and product-specific add-to-cart failure.</t>
  </si>
  <si>
    <t xml:space="preserve">Issues identified: login validation feedback is incomplete when both fields are empty; cart/session isolation and browser-history authentication behavior also have reported concerns. </t>
  </si>
  <si>
    <t>FAIL — SD-007: Cart items remain after logout and are visible after logging in with a different account. | SD-012: The inventory page does not allow adding more than two items, although adding from product details is possible. | SD-013: The user cannot remove selected items from the inventory list. | SD-020: The cart indicator shows 4 while the cart displays 3 items. | SD-022: Remove is non-functional; the item can only be cleared by clearing the whole cart and refreshing the page. | SD-024: Remove is non-functional until the cart is cleared and the page is refreshed. | SD-025: The Remove button becomes non-functional and the item cannot be removed through the normal action.</t>
  </si>
  <si>
    <t>FAIL — SD-004: The user can navigate backward after payment and forward to the confirmation page again. | SD-006: The user can proceed through the end-to-end checkout flow without an item in the cart. | SD-009: The inventory page can be restored with Forward and the user can continue the purchase flow.</t>
  </si>
  <si>
    <t>FAIL — SD-001: The application communicates only that the username is missing.</t>
  </si>
  <si>
    <t>FAIL — SD-022: Remove is non-functional; the item can only be cleared by clearing the whole cart and refreshing the page. | SD-024: Remove is non-functional until the cart is cleared and the page is refreshed. | SD-025: The Remove button becomes non-functional and the item cannot be removed through the normal action.</t>
  </si>
  <si>
    <t>FAIL — SD-004: The user can navigate backward after payment and forward to the confirmation page again. | SD-009: The inventory page can be restored with Forward and the user can continue the purchase flow.</t>
  </si>
  <si>
    <t>FAIL — SD-007: Cart items remain after logout and are visible after logging in with a different account. | SD-009: The inventory page can be restored with Forward and the user can continue the purchase flow.</t>
  </si>
  <si>
    <t>FAIL — SD-011: Inventory items are duplicated when lazy-load dynamic catalog is selected.</t>
  </si>
  <si>
    <t>FAIL — SD-005: Checkout confirmation is displayed and shipping is shown as ready without requesting payment details. | SD-006: The user can proceed through the end-to-end checkout flow without an item in the cart.</t>
  </si>
  <si>
    <t>FAIL — SD-012: The inventory page does not allow adding more than two items, although adding from product details is possible. | SD-013: The user cannot remove selected items from the inventory list. | SD-020: The cart indicator shows 4 while the cart displays 3 items. | SD-022: Remove is non-functional; the item can only be cleared by clearing the whole cart and refreshing the page. | SD-024: Remove is non-functional until the cart is cleared and the page is refreshed. | SD-025: The Remove button becomes non-functional and the item cannot be removed through the normal action.</t>
  </si>
  <si>
    <t>FAIL — SD-004: The user can navigate backward after payment and forward to the confirmation page again.</t>
  </si>
  <si>
    <t>FAIL — SD-019: The user can proceed to the checkout overview page without entering a last name.</t>
  </si>
  <si>
    <t>FAIL — SD-005: Checkout confirmation is displayed and shipping is shown as ready without requesting payment details. | SD-021: Text entered in Last Name appears in the First Name field.</t>
  </si>
  <si>
    <t>FAIL — SD-023: The user is unable to add Sauce Labs Fleece Jacket</t>
  </si>
  <si>
    <t>FAIL — SD-020: The cart indicator shows 4 while the cart displays 3 items.</t>
  </si>
  <si>
    <t>FAIL — SD-012: The inventory page does not allow adding more than two items, although adding from product details is possible.</t>
  </si>
  <si>
    <t>FAIL — SD-010: The user is unable to sort or filter the inventory list.</t>
  </si>
  <si>
    <t>FAIL — SD-014: The detail page displays ITEM NOT FOUND, but the product can still be added to the cart. | SD-015: The detail page displays Test.allTheThings() T-Shirt (Red). | SD-016: The detail page displays Sauce Labs Backpack. | SD-017: The detail page displays Sauce Labs Fleece Jacket and the item cannot be added to the cart from the detail page. | SD-018: The detail page displays Sauce Labs Bolt T-Shirt and the item cannot be added from the detail page.</t>
  </si>
  <si>
    <t>FAIL — SD-017: The detail page displays Sauce Labs Fleece Jacket and the item cannot be added to the cart from the detail page. | SD-018: The detail page displays Sauce Labs Bolt T-Shirt and the item cannot be added from the detail page.</t>
  </si>
  <si>
    <t>FAIL — SD-008: All products display the same image on the inventory page, while the product detail pages show different images.</t>
  </si>
  <si>
    <t>FAIL — SD-002: Sauce Labs Backpack displays 'carry.allTheThings()' unexpectedly in its description; Test.allTheThings() T-Shirt (Red) displays an unexpected name.</t>
  </si>
  <si>
    <t xml:space="preserve"> TESTED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</si>
</sst>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opLeftCell="E1" zoomScale="41" zoomScaleNormal="41" workbookViewId="0">
      <pane ySplit="1" topLeftCell="A47" activePane="bottomLeft" state="frozen"/>
      <selection pane="bottomLeft" activeCell="M14" sqref="M14:M17"/>
    </sheetView>
  </sheetViews>
  <sheetFormatPr defaultRowHeight="14.5" x14ac:dyDescent="0.35"/>
  <cols>
    <col min="1" max="1" width="16" customWidth="1"/>
    <col min="2" max="2" width="18" customWidth="1"/>
    <col min="3" max="3" width="34" customWidth="1"/>
    <col min="4" max="4" width="42" customWidth="1"/>
    <col min="5" max="5" width="22" customWidth="1"/>
    <col min="6" max="6" width="12" customWidth="1"/>
    <col min="7" max="7" width="40" customWidth="1"/>
    <col min="8" max="8" width="55" customWidth="1"/>
    <col min="9" max="9" width="30" customWidth="1"/>
    <col min="10" max="10" width="45" customWidth="1"/>
    <col min="11" max="11" width="18" customWidth="1"/>
    <col min="12" max="12" width="12" customWidth="1"/>
    <col min="13" max="13" width="32" customWidth="1"/>
    <col min="14" max="14" width="14" customWidth="1"/>
    <col min="15" max="15" width="20" customWidth="1"/>
    <col min="16" max="16" width="22" customWidth="1"/>
    <col min="17" max="17" width="30" customWidth="1"/>
    <col min="18" max="18" width="32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2" customHeight="1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27</v>
      </c>
      <c r="N2" s="2" t="s">
        <v>714</v>
      </c>
      <c r="O2" s="2" t="s">
        <v>712</v>
      </c>
      <c r="P2" s="2" t="s">
        <v>713</v>
      </c>
      <c r="Q2" s="2"/>
      <c r="R2" s="2"/>
    </row>
    <row r="3" spans="1:18" ht="52" customHeight="1" x14ac:dyDescent="0.35">
      <c r="A3" s="2" t="s">
        <v>31</v>
      </c>
      <c r="B3" s="2" t="s">
        <v>19</v>
      </c>
      <c r="C3" s="2" t="s">
        <v>32</v>
      </c>
      <c r="D3" s="2" t="s">
        <v>33</v>
      </c>
      <c r="E3" s="2" t="s">
        <v>34</v>
      </c>
      <c r="F3" s="2" t="s">
        <v>23</v>
      </c>
      <c r="G3" s="2" t="s">
        <v>24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29</v>
      </c>
      <c r="M3" s="2" t="s">
        <v>37</v>
      </c>
      <c r="N3" s="2" t="s">
        <v>714</v>
      </c>
      <c r="O3" s="2" t="s">
        <v>712</v>
      </c>
      <c r="P3" s="2" t="s">
        <v>713</v>
      </c>
      <c r="Q3" s="2"/>
      <c r="R3" s="2"/>
    </row>
    <row r="4" spans="1:18" ht="52" customHeight="1" x14ac:dyDescent="0.35">
      <c r="A4" s="2" t="s">
        <v>39</v>
      </c>
      <c r="B4" s="2" t="s">
        <v>19</v>
      </c>
      <c r="C4" s="2" t="s">
        <v>40</v>
      </c>
      <c r="D4" s="2" t="s">
        <v>41</v>
      </c>
      <c r="E4" s="2" t="s">
        <v>34</v>
      </c>
      <c r="F4" s="2" t="s">
        <v>23</v>
      </c>
      <c r="G4" s="2" t="s">
        <v>24</v>
      </c>
      <c r="H4" s="2" t="s">
        <v>42</v>
      </c>
      <c r="I4" s="2" t="s">
        <v>43</v>
      </c>
      <c r="J4" s="2" t="s">
        <v>44</v>
      </c>
      <c r="K4" s="2" t="s">
        <v>38</v>
      </c>
      <c r="L4" s="2" t="s">
        <v>29</v>
      </c>
      <c r="M4" s="2" t="s">
        <v>44</v>
      </c>
      <c r="N4" s="2" t="s">
        <v>714</v>
      </c>
      <c r="O4" s="2" t="s">
        <v>712</v>
      </c>
      <c r="P4" s="2" t="s">
        <v>713</v>
      </c>
      <c r="Q4" s="2"/>
      <c r="R4" s="2"/>
    </row>
    <row r="5" spans="1:18" ht="52" customHeight="1" thickBot="1" x14ac:dyDescent="0.4">
      <c r="A5" s="2" t="s">
        <v>45</v>
      </c>
      <c r="B5" s="2" t="s">
        <v>19</v>
      </c>
      <c r="C5" s="2" t="s">
        <v>46</v>
      </c>
      <c r="D5" s="2" t="s">
        <v>47</v>
      </c>
      <c r="E5" s="2" t="s">
        <v>48</v>
      </c>
      <c r="F5" s="2" t="s">
        <v>23</v>
      </c>
      <c r="G5" s="2" t="s">
        <v>24</v>
      </c>
      <c r="H5" s="2" t="s">
        <v>49</v>
      </c>
      <c r="I5" s="2" t="s">
        <v>50</v>
      </c>
      <c r="J5" s="2" t="s">
        <v>51</v>
      </c>
      <c r="K5" s="2" t="s">
        <v>38</v>
      </c>
      <c r="L5" s="2" t="s">
        <v>29</v>
      </c>
      <c r="M5" s="4" t="s">
        <v>733</v>
      </c>
      <c r="N5" s="4" t="s">
        <v>715</v>
      </c>
      <c r="O5" s="2" t="s">
        <v>712</v>
      </c>
      <c r="P5" s="2" t="s">
        <v>713</v>
      </c>
      <c r="Q5" s="2"/>
      <c r="R5" s="2"/>
    </row>
    <row r="6" spans="1:18" ht="52" customHeight="1" x14ac:dyDescent="0.35">
      <c r="A6" s="2" t="s">
        <v>52</v>
      </c>
      <c r="B6" s="2" t="s">
        <v>19</v>
      </c>
      <c r="C6" s="2" t="s">
        <v>53</v>
      </c>
      <c r="D6" s="2" t="s">
        <v>54</v>
      </c>
      <c r="E6" s="2" t="s">
        <v>48</v>
      </c>
      <c r="F6" s="2" t="s">
        <v>55</v>
      </c>
      <c r="G6" s="2" t="s">
        <v>24</v>
      </c>
      <c r="H6" s="2" t="s">
        <v>56</v>
      </c>
      <c r="I6" s="2" t="s">
        <v>57</v>
      </c>
      <c r="J6" s="2" t="s">
        <v>58</v>
      </c>
      <c r="K6" s="2" t="s">
        <v>38</v>
      </c>
      <c r="L6" s="2" t="s">
        <v>29</v>
      </c>
      <c r="M6" s="2" t="s">
        <v>58</v>
      </c>
      <c r="N6" s="2" t="s">
        <v>714</v>
      </c>
      <c r="O6" s="2" t="s">
        <v>712</v>
      </c>
      <c r="P6" s="2" t="s">
        <v>713</v>
      </c>
      <c r="Q6" s="2"/>
      <c r="R6" s="2"/>
    </row>
    <row r="7" spans="1:18" ht="52" customHeight="1" thickBot="1" x14ac:dyDescent="0.4">
      <c r="A7" s="2" t="s">
        <v>59</v>
      </c>
      <c r="B7" s="2" t="s">
        <v>19</v>
      </c>
      <c r="C7" s="2" t="s">
        <v>60</v>
      </c>
      <c r="D7" s="2" t="s">
        <v>61</v>
      </c>
      <c r="E7" s="2" t="s">
        <v>48</v>
      </c>
      <c r="F7" s="2" t="s">
        <v>55</v>
      </c>
      <c r="G7" s="2" t="s">
        <v>24</v>
      </c>
      <c r="H7" s="2" t="s">
        <v>62</v>
      </c>
      <c r="I7" s="2" t="s">
        <v>63</v>
      </c>
      <c r="J7" s="2" t="s">
        <v>58</v>
      </c>
      <c r="K7" s="2" t="s">
        <v>38</v>
      </c>
      <c r="L7" s="2" t="s">
        <v>29</v>
      </c>
      <c r="M7" s="4" t="s">
        <v>733</v>
      </c>
      <c r="N7" s="4" t="s">
        <v>715</v>
      </c>
      <c r="O7" s="2" t="s">
        <v>712</v>
      </c>
      <c r="P7" s="2" t="s">
        <v>713</v>
      </c>
      <c r="Q7" s="2"/>
      <c r="R7" s="2"/>
    </row>
    <row r="8" spans="1:18" ht="52" customHeight="1" x14ac:dyDescent="0.35">
      <c r="A8" s="2" t="s">
        <v>64</v>
      </c>
      <c r="B8" s="2" t="s">
        <v>19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24</v>
      </c>
      <c r="H8" s="2" t="s">
        <v>69</v>
      </c>
      <c r="I8" s="2" t="s">
        <v>70</v>
      </c>
      <c r="J8" s="2" t="s">
        <v>71</v>
      </c>
      <c r="K8" s="2" t="s">
        <v>38</v>
      </c>
      <c r="L8" s="2" t="s">
        <v>72</v>
      </c>
      <c r="M8" s="2" t="s">
        <v>71</v>
      </c>
      <c r="N8" s="2" t="s">
        <v>714</v>
      </c>
      <c r="O8" s="2" t="s">
        <v>712</v>
      </c>
      <c r="P8" s="2" t="s">
        <v>713</v>
      </c>
      <c r="Q8" s="2"/>
      <c r="R8" s="2"/>
    </row>
    <row r="9" spans="1:18" ht="52" customHeight="1" x14ac:dyDescent="0.35">
      <c r="A9" s="2" t="s">
        <v>73</v>
      </c>
      <c r="B9" s="2" t="s">
        <v>19</v>
      </c>
      <c r="C9" s="2" t="s">
        <v>74</v>
      </c>
      <c r="D9" s="2" t="s">
        <v>75</v>
      </c>
      <c r="E9" s="2" t="s">
        <v>76</v>
      </c>
      <c r="F9" s="2" t="s">
        <v>55</v>
      </c>
      <c r="G9" s="2" t="s">
        <v>24</v>
      </c>
      <c r="H9" s="2" t="s">
        <v>77</v>
      </c>
      <c r="I9" s="2" t="s">
        <v>78</v>
      </c>
      <c r="J9" s="2" t="s">
        <v>79</v>
      </c>
      <c r="K9" s="2" t="s">
        <v>38</v>
      </c>
      <c r="L9" s="2" t="s">
        <v>29</v>
      </c>
      <c r="M9" s="2" t="s">
        <v>79</v>
      </c>
      <c r="N9" s="2" t="s">
        <v>714</v>
      </c>
      <c r="O9" s="2" t="s">
        <v>712</v>
      </c>
      <c r="P9" s="2" t="s">
        <v>713</v>
      </c>
      <c r="Q9" s="2"/>
      <c r="R9" s="2"/>
    </row>
    <row r="10" spans="1:18" ht="52" customHeight="1" x14ac:dyDescent="0.35">
      <c r="A10" s="2" t="s">
        <v>80</v>
      </c>
      <c r="B10" s="2" t="s">
        <v>19</v>
      </c>
      <c r="C10" s="2" t="s">
        <v>81</v>
      </c>
      <c r="D10" s="2" t="s">
        <v>82</v>
      </c>
      <c r="E10" s="2" t="s">
        <v>83</v>
      </c>
      <c r="F10" s="2" t="s">
        <v>55</v>
      </c>
      <c r="G10" s="2" t="s">
        <v>24</v>
      </c>
      <c r="H10" s="2" t="s">
        <v>84</v>
      </c>
      <c r="I10" s="2" t="s">
        <v>85</v>
      </c>
      <c r="J10" s="2" t="s">
        <v>86</v>
      </c>
      <c r="K10" s="2" t="s">
        <v>38</v>
      </c>
      <c r="L10" s="2" t="s">
        <v>29</v>
      </c>
      <c r="M10" s="2" t="s">
        <v>86</v>
      </c>
      <c r="N10" s="2" t="s">
        <v>714</v>
      </c>
      <c r="O10" s="2" t="s">
        <v>712</v>
      </c>
      <c r="P10" s="2" t="s">
        <v>713</v>
      </c>
      <c r="Q10" s="2"/>
      <c r="R10" s="2"/>
    </row>
    <row r="11" spans="1:18" ht="52" customHeight="1" x14ac:dyDescent="0.35">
      <c r="A11" s="2" t="s">
        <v>87</v>
      </c>
      <c r="B11" s="2" t="s">
        <v>19</v>
      </c>
      <c r="C11" s="2" t="s">
        <v>88</v>
      </c>
      <c r="D11" s="2" t="s">
        <v>89</v>
      </c>
      <c r="E11" s="2" t="s">
        <v>90</v>
      </c>
      <c r="F11" s="2" t="s">
        <v>55</v>
      </c>
      <c r="G11" s="2" t="s">
        <v>24</v>
      </c>
      <c r="H11" s="2" t="s">
        <v>91</v>
      </c>
      <c r="I11" s="2" t="s">
        <v>92</v>
      </c>
      <c r="J11" s="2" t="s">
        <v>93</v>
      </c>
      <c r="K11" s="2" t="s">
        <v>94</v>
      </c>
      <c r="L11" s="2" t="s">
        <v>72</v>
      </c>
      <c r="M11" s="2" t="s">
        <v>93</v>
      </c>
      <c r="N11" s="2" t="s">
        <v>714</v>
      </c>
      <c r="O11" s="2" t="s">
        <v>712</v>
      </c>
      <c r="P11" s="2" t="s">
        <v>713</v>
      </c>
      <c r="Q11" s="2"/>
      <c r="R11" s="2"/>
    </row>
    <row r="12" spans="1:18" ht="52" customHeight="1" x14ac:dyDescent="0.35">
      <c r="A12" s="2" t="s">
        <v>95</v>
      </c>
      <c r="B12" s="2" t="s">
        <v>96</v>
      </c>
      <c r="C12" s="2" t="s">
        <v>97</v>
      </c>
      <c r="D12" s="2" t="s">
        <v>98</v>
      </c>
      <c r="E12" s="2" t="s">
        <v>22</v>
      </c>
      <c r="F12" s="2" t="s">
        <v>23</v>
      </c>
      <c r="G12" s="2" t="s">
        <v>24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  <c r="M12" s="2" t="s">
        <v>101</v>
      </c>
      <c r="N12" s="2" t="s">
        <v>714</v>
      </c>
      <c r="O12" s="2" t="s">
        <v>712</v>
      </c>
      <c r="P12" s="2" t="s">
        <v>713</v>
      </c>
      <c r="Q12" s="2"/>
      <c r="R12" s="2"/>
    </row>
    <row r="13" spans="1:18" ht="52" customHeight="1" thickBot="1" x14ac:dyDescent="0.4">
      <c r="A13" s="2" t="s">
        <v>104</v>
      </c>
      <c r="B13" s="2" t="s">
        <v>96</v>
      </c>
      <c r="C13" s="2" t="s">
        <v>105</v>
      </c>
      <c r="D13" s="2" t="s">
        <v>106</v>
      </c>
      <c r="E13" s="2" t="s">
        <v>107</v>
      </c>
      <c r="F13" s="2" t="s">
        <v>23</v>
      </c>
      <c r="G13" s="2" t="s">
        <v>108</v>
      </c>
      <c r="H13" s="2" t="s">
        <v>109</v>
      </c>
      <c r="I13" s="2" t="s">
        <v>110</v>
      </c>
      <c r="J13" s="2" t="s">
        <v>111</v>
      </c>
      <c r="K13" s="2" t="s">
        <v>102</v>
      </c>
      <c r="L13" s="2" t="s">
        <v>103</v>
      </c>
      <c r="M13" s="4" t="s">
        <v>750</v>
      </c>
      <c r="N13" s="4" t="s">
        <v>715</v>
      </c>
      <c r="O13" s="2" t="s">
        <v>712</v>
      </c>
      <c r="P13" s="2" t="s">
        <v>713</v>
      </c>
      <c r="Q13" s="2"/>
      <c r="R13" s="2"/>
    </row>
    <row r="14" spans="1:18" ht="52" customHeight="1" x14ac:dyDescent="0.35">
      <c r="A14" s="2" t="s">
        <v>112</v>
      </c>
      <c r="B14" s="2" t="s">
        <v>96</v>
      </c>
      <c r="C14" s="2" t="s">
        <v>113</v>
      </c>
      <c r="D14" s="2" t="s">
        <v>114</v>
      </c>
      <c r="E14" s="2" t="s">
        <v>115</v>
      </c>
      <c r="F14" s="2" t="s">
        <v>55</v>
      </c>
      <c r="G14" s="2" t="s">
        <v>108</v>
      </c>
      <c r="H14" s="2" t="s">
        <v>116</v>
      </c>
      <c r="I14" s="2" t="s">
        <v>117</v>
      </c>
      <c r="J14" s="2" t="s">
        <v>118</v>
      </c>
      <c r="K14" s="2" t="s">
        <v>119</v>
      </c>
      <c r="L14" s="2" t="s">
        <v>103</v>
      </c>
      <c r="M14" s="2" t="s">
        <v>118</v>
      </c>
      <c r="N14" s="2" t="s">
        <v>714</v>
      </c>
      <c r="O14" s="2" t="s">
        <v>712</v>
      </c>
      <c r="P14" s="2" t="s">
        <v>713</v>
      </c>
      <c r="Q14" s="2"/>
      <c r="R14" s="2"/>
    </row>
    <row r="15" spans="1:18" ht="52" customHeight="1" x14ac:dyDescent="0.35">
      <c r="A15" s="2" t="s">
        <v>120</v>
      </c>
      <c r="B15" s="2" t="s">
        <v>96</v>
      </c>
      <c r="C15" s="2" t="s">
        <v>121</v>
      </c>
      <c r="D15" s="2" t="s">
        <v>122</v>
      </c>
      <c r="E15" s="2" t="s">
        <v>115</v>
      </c>
      <c r="F15" s="2" t="s">
        <v>55</v>
      </c>
      <c r="G15" s="2" t="s">
        <v>123</v>
      </c>
      <c r="H15" s="2" t="s">
        <v>124</v>
      </c>
      <c r="I15" s="2" t="s">
        <v>125</v>
      </c>
      <c r="J15" s="2" t="s">
        <v>126</v>
      </c>
      <c r="K15" s="2" t="s">
        <v>119</v>
      </c>
      <c r="L15" s="2" t="s">
        <v>103</v>
      </c>
      <c r="M15" s="2" t="s">
        <v>126</v>
      </c>
      <c r="N15" s="2" t="s">
        <v>714</v>
      </c>
      <c r="O15" s="2" t="s">
        <v>712</v>
      </c>
      <c r="P15" s="2" t="s">
        <v>713</v>
      </c>
      <c r="Q15" s="2"/>
      <c r="R15" s="2"/>
    </row>
    <row r="16" spans="1:18" ht="52" customHeight="1" x14ac:dyDescent="0.35">
      <c r="A16" s="2" t="s">
        <v>127</v>
      </c>
      <c r="B16" s="2" t="s">
        <v>96</v>
      </c>
      <c r="C16" s="2" t="s">
        <v>128</v>
      </c>
      <c r="D16" s="2" t="s">
        <v>129</v>
      </c>
      <c r="E16" s="2" t="s">
        <v>22</v>
      </c>
      <c r="F16" s="2" t="s">
        <v>23</v>
      </c>
      <c r="G16" s="2" t="s">
        <v>108</v>
      </c>
      <c r="H16" s="2" t="s">
        <v>130</v>
      </c>
      <c r="I16" s="2" t="s">
        <v>131</v>
      </c>
      <c r="J16" s="2" t="s">
        <v>132</v>
      </c>
      <c r="K16" s="2" t="s">
        <v>133</v>
      </c>
      <c r="L16" s="2" t="s">
        <v>134</v>
      </c>
      <c r="M16" s="2" t="s">
        <v>132</v>
      </c>
      <c r="N16" s="2" t="s">
        <v>714</v>
      </c>
      <c r="O16" s="2" t="s">
        <v>712</v>
      </c>
      <c r="P16" s="2" t="s">
        <v>713</v>
      </c>
      <c r="Q16" s="2"/>
      <c r="R16" s="2"/>
    </row>
    <row r="17" spans="1:18" ht="52" customHeight="1" x14ac:dyDescent="0.35">
      <c r="A17" s="2" t="s">
        <v>135</v>
      </c>
      <c r="B17" s="2" t="s">
        <v>96</v>
      </c>
      <c r="C17" s="2" t="s">
        <v>136</v>
      </c>
      <c r="D17" s="2" t="s">
        <v>137</v>
      </c>
      <c r="E17" s="2" t="s">
        <v>138</v>
      </c>
      <c r="F17" s="2" t="s">
        <v>23</v>
      </c>
      <c r="G17" s="2" t="s">
        <v>108</v>
      </c>
      <c r="H17" s="2" t="s">
        <v>139</v>
      </c>
      <c r="I17" s="2" t="s">
        <v>140</v>
      </c>
      <c r="J17" s="2" t="s">
        <v>141</v>
      </c>
      <c r="K17" s="2" t="s">
        <v>142</v>
      </c>
      <c r="L17" s="2" t="s">
        <v>134</v>
      </c>
      <c r="M17" s="2" t="s">
        <v>141</v>
      </c>
      <c r="N17" s="2" t="s">
        <v>714</v>
      </c>
      <c r="O17" s="2" t="s">
        <v>712</v>
      </c>
      <c r="P17" s="2" t="s">
        <v>713</v>
      </c>
      <c r="Q17" s="2"/>
      <c r="R17" s="2"/>
    </row>
    <row r="18" spans="1:18" ht="52" customHeight="1" thickBot="1" x14ac:dyDescent="0.4">
      <c r="A18" s="2" t="s">
        <v>143</v>
      </c>
      <c r="B18" s="2" t="s">
        <v>96</v>
      </c>
      <c r="C18" s="2" t="s">
        <v>144</v>
      </c>
      <c r="D18" s="2" t="s">
        <v>145</v>
      </c>
      <c r="E18" s="2" t="s">
        <v>146</v>
      </c>
      <c r="F18" s="2" t="s">
        <v>68</v>
      </c>
      <c r="G18" s="2" t="s">
        <v>108</v>
      </c>
      <c r="H18" s="2" t="s">
        <v>147</v>
      </c>
      <c r="I18" s="2" t="s">
        <v>148</v>
      </c>
      <c r="J18" s="2" t="s">
        <v>149</v>
      </c>
      <c r="K18" s="2" t="s">
        <v>102</v>
      </c>
      <c r="L18" s="2" t="s">
        <v>103</v>
      </c>
      <c r="M18" s="4" t="s">
        <v>749</v>
      </c>
      <c r="N18" s="4" t="s">
        <v>715</v>
      </c>
      <c r="O18" s="2" t="s">
        <v>712</v>
      </c>
      <c r="P18" s="2" t="s">
        <v>713</v>
      </c>
      <c r="Q18" s="2"/>
      <c r="R18" s="2"/>
    </row>
    <row r="19" spans="1:18" ht="52" customHeight="1" x14ac:dyDescent="0.35">
      <c r="A19" s="2" t="s">
        <v>150</v>
      </c>
      <c r="B19" s="2" t="s">
        <v>96</v>
      </c>
      <c r="C19" s="2" t="s">
        <v>151</v>
      </c>
      <c r="D19" s="2" t="s">
        <v>152</v>
      </c>
      <c r="E19" s="2" t="s">
        <v>153</v>
      </c>
      <c r="F19" s="2" t="s">
        <v>68</v>
      </c>
      <c r="G19" s="2" t="s">
        <v>108</v>
      </c>
      <c r="H19" s="2" t="s">
        <v>154</v>
      </c>
      <c r="I19" s="2" t="s">
        <v>155</v>
      </c>
      <c r="J19" s="2" t="s">
        <v>156</v>
      </c>
      <c r="K19" s="2" t="s">
        <v>102</v>
      </c>
      <c r="L19" s="2" t="s">
        <v>72</v>
      </c>
      <c r="M19" s="2" t="s">
        <v>156</v>
      </c>
      <c r="N19" s="2" t="s">
        <v>714</v>
      </c>
      <c r="O19" s="2" t="s">
        <v>712</v>
      </c>
      <c r="P19" s="2" t="s">
        <v>713</v>
      </c>
      <c r="Q19" s="2"/>
      <c r="R19" s="2"/>
    </row>
    <row r="20" spans="1:18" ht="52" customHeight="1" x14ac:dyDescent="0.35">
      <c r="A20" s="2" t="s">
        <v>157</v>
      </c>
      <c r="B20" s="2" t="s">
        <v>96</v>
      </c>
      <c r="C20" s="2" t="s">
        <v>158</v>
      </c>
      <c r="D20" s="2" t="s">
        <v>159</v>
      </c>
      <c r="E20" s="2" t="s">
        <v>160</v>
      </c>
      <c r="F20" s="2" t="s">
        <v>55</v>
      </c>
      <c r="G20" s="2" t="s">
        <v>108</v>
      </c>
      <c r="H20" s="2" t="s">
        <v>161</v>
      </c>
      <c r="I20" s="2" t="s">
        <v>125</v>
      </c>
      <c r="J20" s="2" t="s">
        <v>162</v>
      </c>
      <c r="K20" s="2" t="s">
        <v>94</v>
      </c>
      <c r="L20" s="2" t="s">
        <v>72</v>
      </c>
      <c r="M20" s="2" t="s">
        <v>162</v>
      </c>
      <c r="N20" s="2" t="s">
        <v>714</v>
      </c>
      <c r="O20" s="2" t="s">
        <v>712</v>
      </c>
      <c r="P20" s="2" t="s">
        <v>713</v>
      </c>
      <c r="Q20" s="2"/>
      <c r="R20" s="2"/>
    </row>
    <row r="21" spans="1:18" ht="52" customHeight="1" thickBot="1" x14ac:dyDescent="0.4">
      <c r="A21" s="2" t="s">
        <v>163</v>
      </c>
      <c r="B21" s="2" t="s">
        <v>96</v>
      </c>
      <c r="C21" s="2" t="s">
        <v>164</v>
      </c>
      <c r="D21" s="2" t="s">
        <v>165</v>
      </c>
      <c r="E21" s="2" t="s">
        <v>166</v>
      </c>
      <c r="F21" s="2" t="s">
        <v>55</v>
      </c>
      <c r="G21" s="2" t="s">
        <v>108</v>
      </c>
      <c r="H21" s="2" t="s">
        <v>167</v>
      </c>
      <c r="I21" s="2" t="s">
        <v>168</v>
      </c>
      <c r="J21" s="2" t="s">
        <v>169</v>
      </c>
      <c r="K21" s="2" t="s">
        <v>170</v>
      </c>
      <c r="L21" s="2" t="s">
        <v>171</v>
      </c>
      <c r="M21" s="4" t="s">
        <v>737</v>
      </c>
      <c r="N21" s="4" t="s">
        <v>715</v>
      </c>
      <c r="O21" s="2" t="s">
        <v>712</v>
      </c>
      <c r="P21" s="2" t="s">
        <v>713</v>
      </c>
      <c r="Q21" s="2"/>
      <c r="R21" s="2"/>
    </row>
    <row r="22" spans="1:18" ht="52" customHeight="1" thickBot="1" x14ac:dyDescent="0.4">
      <c r="A22" s="2" t="s">
        <v>172</v>
      </c>
      <c r="B22" s="2" t="s">
        <v>173</v>
      </c>
      <c r="C22" s="2" t="s">
        <v>174</v>
      </c>
      <c r="D22" s="2" t="s">
        <v>175</v>
      </c>
      <c r="E22" s="2" t="s">
        <v>22</v>
      </c>
      <c r="F22" s="2" t="s">
        <v>55</v>
      </c>
      <c r="G22" s="2" t="s">
        <v>108</v>
      </c>
      <c r="H22" s="2" t="s">
        <v>176</v>
      </c>
      <c r="I22" s="2" t="s">
        <v>177</v>
      </c>
      <c r="J22" s="2" t="s">
        <v>178</v>
      </c>
      <c r="K22" s="2" t="s">
        <v>179</v>
      </c>
      <c r="L22" s="2" t="s">
        <v>180</v>
      </c>
      <c r="M22" s="4" t="s">
        <v>746</v>
      </c>
      <c r="N22" s="4" t="s">
        <v>715</v>
      </c>
      <c r="O22" s="2" t="s">
        <v>712</v>
      </c>
      <c r="P22" s="2" t="s">
        <v>713</v>
      </c>
      <c r="Q22" s="2"/>
      <c r="R22" s="2"/>
    </row>
    <row r="23" spans="1:18" ht="52" customHeight="1" thickBot="1" x14ac:dyDescent="0.4">
      <c r="A23" s="2" t="s">
        <v>181</v>
      </c>
      <c r="B23" s="2" t="s">
        <v>173</v>
      </c>
      <c r="C23" s="2" t="s">
        <v>182</v>
      </c>
      <c r="D23" s="2" t="s">
        <v>183</v>
      </c>
      <c r="E23" s="2" t="s">
        <v>22</v>
      </c>
      <c r="F23" s="2" t="s">
        <v>55</v>
      </c>
      <c r="G23" s="2" t="s">
        <v>108</v>
      </c>
      <c r="H23" s="2" t="s">
        <v>184</v>
      </c>
      <c r="I23" s="2" t="s">
        <v>177</v>
      </c>
      <c r="J23" s="2" t="s">
        <v>185</v>
      </c>
      <c r="K23" s="2" t="s">
        <v>179</v>
      </c>
      <c r="L23" s="2" t="s">
        <v>180</v>
      </c>
      <c r="M23" s="4" t="s">
        <v>746</v>
      </c>
      <c r="N23" s="4" t="s">
        <v>715</v>
      </c>
      <c r="O23" s="2" t="s">
        <v>712</v>
      </c>
      <c r="P23" s="2" t="s">
        <v>713</v>
      </c>
      <c r="Q23" s="2"/>
      <c r="R23" s="2"/>
    </row>
    <row r="24" spans="1:18" ht="52" customHeight="1" thickBot="1" x14ac:dyDescent="0.4">
      <c r="A24" s="2" t="s">
        <v>186</v>
      </c>
      <c r="B24" s="2" t="s">
        <v>173</v>
      </c>
      <c r="C24" s="2" t="s">
        <v>187</v>
      </c>
      <c r="D24" s="2" t="s">
        <v>188</v>
      </c>
      <c r="E24" s="2" t="s">
        <v>22</v>
      </c>
      <c r="F24" s="2" t="s">
        <v>23</v>
      </c>
      <c r="G24" s="2" t="s">
        <v>108</v>
      </c>
      <c r="H24" s="2" t="s">
        <v>189</v>
      </c>
      <c r="I24" s="2" t="s">
        <v>190</v>
      </c>
      <c r="J24" s="2" t="s">
        <v>191</v>
      </c>
      <c r="K24" s="2" t="s">
        <v>179</v>
      </c>
      <c r="L24" s="2" t="s">
        <v>180</v>
      </c>
      <c r="M24" s="4" t="s">
        <v>746</v>
      </c>
      <c r="N24" s="4" t="s">
        <v>715</v>
      </c>
      <c r="O24" s="2" t="s">
        <v>712</v>
      </c>
      <c r="P24" s="2" t="s">
        <v>713</v>
      </c>
      <c r="Q24" s="2"/>
      <c r="R24" s="2"/>
    </row>
    <row r="25" spans="1:18" ht="52" customHeight="1" thickBot="1" x14ac:dyDescent="0.4">
      <c r="A25" s="2" t="s">
        <v>192</v>
      </c>
      <c r="B25" s="2" t="s">
        <v>173</v>
      </c>
      <c r="C25" s="2" t="s">
        <v>193</v>
      </c>
      <c r="D25" s="2" t="s">
        <v>194</v>
      </c>
      <c r="E25" s="2" t="s">
        <v>22</v>
      </c>
      <c r="F25" s="2" t="s">
        <v>23</v>
      </c>
      <c r="G25" s="2" t="s">
        <v>108</v>
      </c>
      <c r="H25" s="2" t="s">
        <v>195</v>
      </c>
      <c r="I25" s="2" t="s">
        <v>190</v>
      </c>
      <c r="J25" s="2" t="s">
        <v>196</v>
      </c>
      <c r="K25" s="2" t="s">
        <v>179</v>
      </c>
      <c r="L25" s="2" t="s">
        <v>180</v>
      </c>
      <c r="M25" s="4" t="s">
        <v>746</v>
      </c>
      <c r="N25" s="4" t="s">
        <v>715</v>
      </c>
      <c r="O25" s="2" t="s">
        <v>712</v>
      </c>
      <c r="P25" s="2" t="s">
        <v>713</v>
      </c>
      <c r="Q25" s="2"/>
      <c r="R25" s="2"/>
    </row>
    <row r="26" spans="1:18" ht="52" customHeight="1" thickBot="1" x14ac:dyDescent="0.4">
      <c r="A26" s="2" t="s">
        <v>197</v>
      </c>
      <c r="B26" s="2" t="s">
        <v>173</v>
      </c>
      <c r="C26" s="2" t="s">
        <v>198</v>
      </c>
      <c r="D26" s="2" t="s">
        <v>199</v>
      </c>
      <c r="E26" s="2" t="s">
        <v>200</v>
      </c>
      <c r="F26" s="2" t="s">
        <v>68</v>
      </c>
      <c r="G26" s="2" t="s">
        <v>108</v>
      </c>
      <c r="H26" s="2" t="s">
        <v>201</v>
      </c>
      <c r="I26" s="2" t="s">
        <v>202</v>
      </c>
      <c r="J26" s="2" t="s">
        <v>203</v>
      </c>
      <c r="K26" s="2" t="s">
        <v>179</v>
      </c>
      <c r="L26" s="2" t="s">
        <v>180</v>
      </c>
      <c r="M26" s="4" t="s">
        <v>746</v>
      </c>
      <c r="N26" s="4" t="s">
        <v>715</v>
      </c>
      <c r="O26" s="2" t="s">
        <v>712</v>
      </c>
      <c r="P26" s="2" t="s">
        <v>713</v>
      </c>
      <c r="Q26" s="2"/>
      <c r="R26" s="2"/>
    </row>
    <row r="27" spans="1:18" ht="52" customHeight="1" thickBot="1" x14ac:dyDescent="0.4">
      <c r="A27" s="2" t="s">
        <v>204</v>
      </c>
      <c r="B27" s="2" t="s">
        <v>173</v>
      </c>
      <c r="C27" s="2" t="s">
        <v>205</v>
      </c>
      <c r="D27" s="2" t="s">
        <v>206</v>
      </c>
      <c r="E27" s="2" t="s">
        <v>166</v>
      </c>
      <c r="F27" s="2" t="s">
        <v>55</v>
      </c>
      <c r="G27" s="2" t="s">
        <v>108</v>
      </c>
      <c r="H27" s="2" t="s">
        <v>207</v>
      </c>
      <c r="I27" s="2" t="s">
        <v>208</v>
      </c>
      <c r="J27" s="2" t="s">
        <v>209</v>
      </c>
      <c r="K27" s="2" t="s">
        <v>179</v>
      </c>
      <c r="L27" s="2" t="s">
        <v>180</v>
      </c>
      <c r="M27" s="4" t="s">
        <v>746</v>
      </c>
      <c r="N27" s="4" t="s">
        <v>715</v>
      </c>
      <c r="O27" s="2" t="s">
        <v>712</v>
      </c>
      <c r="P27" s="2" t="s">
        <v>713</v>
      </c>
      <c r="Q27" s="2"/>
      <c r="R27" s="2"/>
    </row>
    <row r="28" spans="1:18" ht="52" customHeight="1" thickBot="1" x14ac:dyDescent="0.4">
      <c r="A28" s="2" t="s">
        <v>210</v>
      </c>
      <c r="B28" s="2" t="s">
        <v>173</v>
      </c>
      <c r="C28" s="2" t="s">
        <v>211</v>
      </c>
      <c r="D28" s="2" t="s">
        <v>212</v>
      </c>
      <c r="E28" s="2" t="s">
        <v>213</v>
      </c>
      <c r="F28" s="2" t="s">
        <v>55</v>
      </c>
      <c r="G28" s="2" t="s">
        <v>108</v>
      </c>
      <c r="H28" s="2" t="s">
        <v>214</v>
      </c>
      <c r="I28" s="2" t="s">
        <v>215</v>
      </c>
      <c r="J28" s="2" t="s">
        <v>216</v>
      </c>
      <c r="K28" s="2" t="s">
        <v>179</v>
      </c>
      <c r="L28" s="2" t="s">
        <v>180</v>
      </c>
      <c r="M28" s="4" t="s">
        <v>746</v>
      </c>
      <c r="N28" s="4" t="s">
        <v>715</v>
      </c>
      <c r="O28" s="2" t="s">
        <v>712</v>
      </c>
      <c r="P28" s="2" t="s">
        <v>713</v>
      </c>
      <c r="Q28" s="2"/>
      <c r="R28" s="2"/>
    </row>
    <row r="29" spans="1:18" ht="52" customHeight="1" thickBot="1" x14ac:dyDescent="0.4">
      <c r="A29" s="2" t="s">
        <v>217</v>
      </c>
      <c r="B29" s="2" t="s">
        <v>218</v>
      </c>
      <c r="C29" s="2" t="s">
        <v>219</v>
      </c>
      <c r="D29" s="2" t="s">
        <v>220</v>
      </c>
      <c r="E29" s="2" t="s">
        <v>221</v>
      </c>
      <c r="F29" s="2" t="s">
        <v>55</v>
      </c>
      <c r="G29" s="2" t="s">
        <v>108</v>
      </c>
      <c r="H29" s="2" t="s">
        <v>222</v>
      </c>
      <c r="I29" s="2" t="s">
        <v>131</v>
      </c>
      <c r="J29" s="2" t="s">
        <v>223</v>
      </c>
      <c r="K29" s="2" t="s">
        <v>224</v>
      </c>
      <c r="L29" s="2" t="s">
        <v>103</v>
      </c>
      <c r="M29" s="4" t="s">
        <v>747</v>
      </c>
      <c r="N29" s="4" t="s">
        <v>715</v>
      </c>
      <c r="O29" s="2" t="s">
        <v>712</v>
      </c>
      <c r="P29" s="2" t="s">
        <v>713</v>
      </c>
      <c r="Q29" s="2"/>
      <c r="R29" s="2"/>
    </row>
    <row r="30" spans="1:18" ht="52" customHeight="1" thickBot="1" x14ac:dyDescent="0.4">
      <c r="A30" s="2" t="s">
        <v>225</v>
      </c>
      <c r="B30" s="2" t="s">
        <v>218</v>
      </c>
      <c r="C30" s="2" t="s">
        <v>226</v>
      </c>
      <c r="D30" s="2" t="s">
        <v>227</v>
      </c>
      <c r="E30" s="2" t="s">
        <v>228</v>
      </c>
      <c r="F30" s="2" t="s">
        <v>55</v>
      </c>
      <c r="G30" s="2" t="s">
        <v>229</v>
      </c>
      <c r="H30" s="2" t="s">
        <v>230</v>
      </c>
      <c r="I30" s="2" t="s">
        <v>231</v>
      </c>
      <c r="J30" s="2" t="s">
        <v>232</v>
      </c>
      <c r="K30" s="2" t="s">
        <v>133</v>
      </c>
      <c r="L30" s="2" t="s">
        <v>134</v>
      </c>
      <c r="M30" s="4" t="s">
        <v>748</v>
      </c>
      <c r="N30" s="4" t="s">
        <v>715</v>
      </c>
      <c r="O30" s="2" t="s">
        <v>712</v>
      </c>
      <c r="P30" s="2" t="s">
        <v>713</v>
      </c>
      <c r="Q30" s="2"/>
      <c r="R30" s="2"/>
    </row>
    <row r="31" spans="1:18" ht="52" customHeight="1" x14ac:dyDescent="0.35">
      <c r="A31" s="2" t="s">
        <v>233</v>
      </c>
      <c r="B31" s="2" t="s">
        <v>218</v>
      </c>
      <c r="C31" s="2" t="s">
        <v>234</v>
      </c>
      <c r="D31" s="2" t="s">
        <v>235</v>
      </c>
      <c r="E31" s="2" t="s">
        <v>236</v>
      </c>
      <c r="F31" s="2" t="s">
        <v>55</v>
      </c>
      <c r="G31" s="2" t="s">
        <v>237</v>
      </c>
      <c r="H31" s="2" t="s">
        <v>238</v>
      </c>
      <c r="I31" s="2" t="s">
        <v>231</v>
      </c>
      <c r="J31" s="2" t="s">
        <v>239</v>
      </c>
      <c r="K31" s="2" t="s">
        <v>170</v>
      </c>
      <c r="L31" s="2" t="s">
        <v>171</v>
      </c>
      <c r="M31" s="2" t="s">
        <v>239</v>
      </c>
      <c r="N31" s="2" t="s">
        <v>714</v>
      </c>
      <c r="O31" s="2" t="s">
        <v>712</v>
      </c>
      <c r="P31" s="2" t="s">
        <v>713</v>
      </c>
      <c r="Q31" s="2"/>
      <c r="R31" s="2"/>
    </row>
    <row r="32" spans="1:18" ht="52" customHeight="1" x14ac:dyDescent="0.35">
      <c r="A32" s="2" t="s">
        <v>240</v>
      </c>
      <c r="B32" s="2" t="s">
        <v>218</v>
      </c>
      <c r="C32" s="2" t="s">
        <v>241</v>
      </c>
      <c r="D32" s="2" t="s">
        <v>242</v>
      </c>
      <c r="E32" s="2" t="s">
        <v>160</v>
      </c>
      <c r="F32" s="2" t="s">
        <v>68</v>
      </c>
      <c r="G32" s="2" t="s">
        <v>108</v>
      </c>
      <c r="H32" s="2" t="s">
        <v>243</v>
      </c>
      <c r="I32" s="2" t="s">
        <v>125</v>
      </c>
      <c r="J32" s="2" t="s">
        <v>244</v>
      </c>
      <c r="K32" s="2" t="s">
        <v>94</v>
      </c>
      <c r="L32" s="2" t="s">
        <v>72</v>
      </c>
      <c r="M32" s="2" t="s">
        <v>244</v>
      </c>
      <c r="N32" s="2" t="s">
        <v>714</v>
      </c>
      <c r="O32" s="2" t="s">
        <v>712</v>
      </c>
      <c r="P32" s="2" t="s">
        <v>713</v>
      </c>
      <c r="Q32" s="2"/>
      <c r="R32" s="2"/>
    </row>
    <row r="33" spans="1:18" ht="52" customHeight="1" x14ac:dyDescent="0.35">
      <c r="A33" s="2" t="s">
        <v>245</v>
      </c>
      <c r="B33" s="2" t="s">
        <v>246</v>
      </c>
      <c r="C33" s="2" t="s">
        <v>247</v>
      </c>
      <c r="D33" s="2" t="s">
        <v>248</v>
      </c>
      <c r="E33" s="2" t="s">
        <v>213</v>
      </c>
      <c r="F33" s="2" t="s">
        <v>55</v>
      </c>
      <c r="G33" s="2" t="s">
        <v>108</v>
      </c>
      <c r="H33" s="2" t="s">
        <v>249</v>
      </c>
      <c r="I33" s="2" t="s">
        <v>250</v>
      </c>
      <c r="J33" s="2" t="s">
        <v>251</v>
      </c>
      <c r="K33" s="2" t="s">
        <v>252</v>
      </c>
      <c r="L33" s="2" t="s">
        <v>134</v>
      </c>
      <c r="M33" s="2" t="s">
        <v>251</v>
      </c>
      <c r="N33" s="2" t="s">
        <v>714</v>
      </c>
      <c r="O33" s="2" t="s">
        <v>712</v>
      </c>
      <c r="P33" s="2" t="s">
        <v>713</v>
      </c>
      <c r="Q33" s="2"/>
      <c r="R33" s="2"/>
    </row>
    <row r="34" spans="1:18" ht="52" customHeight="1" thickBot="1" x14ac:dyDescent="0.4">
      <c r="A34" s="2" t="s">
        <v>253</v>
      </c>
      <c r="B34" s="2" t="s">
        <v>246</v>
      </c>
      <c r="C34" s="2" t="s">
        <v>254</v>
      </c>
      <c r="D34" s="2" t="s">
        <v>255</v>
      </c>
      <c r="E34" s="2" t="s">
        <v>22</v>
      </c>
      <c r="F34" s="2" t="s">
        <v>23</v>
      </c>
      <c r="G34" s="2" t="s">
        <v>108</v>
      </c>
      <c r="H34" s="2" t="s">
        <v>256</v>
      </c>
      <c r="I34" s="2" t="s">
        <v>257</v>
      </c>
      <c r="J34" s="2" t="s">
        <v>258</v>
      </c>
      <c r="K34" s="2" t="s">
        <v>133</v>
      </c>
      <c r="L34" s="2" t="s">
        <v>134</v>
      </c>
      <c r="M34" s="4" t="s">
        <v>743</v>
      </c>
      <c r="N34" s="4" t="s">
        <v>715</v>
      </c>
      <c r="O34" s="2" t="s">
        <v>712</v>
      </c>
      <c r="P34" s="2" t="s">
        <v>713</v>
      </c>
      <c r="Q34" s="2"/>
      <c r="R34" s="2"/>
    </row>
    <row r="35" spans="1:18" ht="52" customHeight="1" thickBot="1" x14ac:dyDescent="0.4">
      <c r="A35" s="2" t="s">
        <v>259</v>
      </c>
      <c r="B35" s="2" t="s">
        <v>246</v>
      </c>
      <c r="C35" s="2" t="s">
        <v>260</v>
      </c>
      <c r="D35" s="2" t="s">
        <v>261</v>
      </c>
      <c r="E35" s="2" t="s">
        <v>22</v>
      </c>
      <c r="F35" s="2" t="s">
        <v>23</v>
      </c>
      <c r="G35" s="2" t="s">
        <v>262</v>
      </c>
      <c r="H35" s="2" t="s">
        <v>263</v>
      </c>
      <c r="I35" s="2" t="s">
        <v>257</v>
      </c>
      <c r="J35" s="2" t="s">
        <v>264</v>
      </c>
      <c r="K35" s="2" t="s">
        <v>252</v>
      </c>
      <c r="L35" s="2" t="s">
        <v>134</v>
      </c>
      <c r="M35" s="4" t="s">
        <v>734</v>
      </c>
      <c r="N35" s="4" t="s">
        <v>715</v>
      </c>
      <c r="O35" s="2" t="s">
        <v>712</v>
      </c>
      <c r="P35" s="2" t="s">
        <v>713</v>
      </c>
      <c r="Q35" s="2"/>
      <c r="R35" s="2"/>
    </row>
    <row r="36" spans="1:18" ht="52" customHeight="1" thickBot="1" x14ac:dyDescent="0.4">
      <c r="A36" s="2" t="s">
        <v>265</v>
      </c>
      <c r="B36" s="2" t="s">
        <v>246</v>
      </c>
      <c r="C36" s="2" t="s">
        <v>266</v>
      </c>
      <c r="D36" s="2" t="s">
        <v>267</v>
      </c>
      <c r="E36" s="2" t="s">
        <v>268</v>
      </c>
      <c r="F36" s="2" t="s">
        <v>23</v>
      </c>
      <c r="G36" s="2" t="s">
        <v>108</v>
      </c>
      <c r="H36" s="2" t="s">
        <v>269</v>
      </c>
      <c r="I36" s="2" t="s">
        <v>270</v>
      </c>
      <c r="J36" s="2" t="s">
        <v>271</v>
      </c>
      <c r="K36" s="2" t="s">
        <v>142</v>
      </c>
      <c r="L36" s="2" t="s">
        <v>134</v>
      </c>
      <c r="M36" s="4" t="s">
        <v>744</v>
      </c>
      <c r="N36" s="4" t="s">
        <v>715</v>
      </c>
      <c r="O36" s="2" t="s">
        <v>712</v>
      </c>
      <c r="P36" s="2" t="s">
        <v>713</v>
      </c>
      <c r="Q36" s="2"/>
      <c r="R36" s="2"/>
    </row>
    <row r="37" spans="1:18" ht="52" customHeight="1" thickBot="1" x14ac:dyDescent="0.4">
      <c r="A37" s="2" t="s">
        <v>272</v>
      </c>
      <c r="B37" s="2" t="s">
        <v>246</v>
      </c>
      <c r="C37" s="2" t="s">
        <v>273</v>
      </c>
      <c r="D37" s="2" t="s">
        <v>274</v>
      </c>
      <c r="E37" s="2" t="s">
        <v>138</v>
      </c>
      <c r="F37" s="2" t="s">
        <v>23</v>
      </c>
      <c r="G37" s="2" t="s">
        <v>108</v>
      </c>
      <c r="H37" s="2" t="s">
        <v>275</v>
      </c>
      <c r="I37" s="2" t="s">
        <v>276</v>
      </c>
      <c r="J37" s="2" t="s">
        <v>277</v>
      </c>
      <c r="K37" s="2" t="s">
        <v>133</v>
      </c>
      <c r="L37" s="2" t="s">
        <v>134</v>
      </c>
      <c r="M37" s="4" t="s">
        <v>745</v>
      </c>
      <c r="N37" s="4" t="s">
        <v>715</v>
      </c>
      <c r="O37" s="2" t="s">
        <v>712</v>
      </c>
      <c r="P37" s="2" t="s">
        <v>713</v>
      </c>
      <c r="Q37" s="2"/>
      <c r="R37" s="2"/>
    </row>
    <row r="38" spans="1:18" ht="52" customHeight="1" thickBot="1" x14ac:dyDescent="0.4">
      <c r="A38" s="2" t="s">
        <v>278</v>
      </c>
      <c r="B38" s="2" t="s">
        <v>246</v>
      </c>
      <c r="C38" s="2" t="s">
        <v>279</v>
      </c>
      <c r="D38" s="2" t="s">
        <v>280</v>
      </c>
      <c r="E38" s="2" t="s">
        <v>281</v>
      </c>
      <c r="F38" s="2" t="s">
        <v>23</v>
      </c>
      <c r="G38" s="2" t="s">
        <v>282</v>
      </c>
      <c r="H38" s="2" t="s">
        <v>283</v>
      </c>
      <c r="I38" s="2" t="s">
        <v>284</v>
      </c>
      <c r="J38" s="2" t="s">
        <v>285</v>
      </c>
      <c r="K38" s="2" t="s">
        <v>252</v>
      </c>
      <c r="L38" s="2" t="s">
        <v>134</v>
      </c>
      <c r="M38" s="4" t="s">
        <v>734</v>
      </c>
      <c r="N38" s="4" t="s">
        <v>715</v>
      </c>
      <c r="O38" s="2" t="s">
        <v>712</v>
      </c>
      <c r="P38" s="2" t="s">
        <v>713</v>
      </c>
      <c r="Q38" s="2"/>
      <c r="R38" s="2"/>
    </row>
    <row r="39" spans="1:18" ht="52" customHeight="1" x14ac:dyDescent="0.35">
      <c r="A39" s="2" t="s">
        <v>286</v>
      </c>
      <c r="B39" s="2" t="s">
        <v>246</v>
      </c>
      <c r="C39" s="2" t="s">
        <v>287</v>
      </c>
      <c r="D39" s="2" t="s">
        <v>288</v>
      </c>
      <c r="E39" s="2" t="s">
        <v>289</v>
      </c>
      <c r="F39" s="2" t="s">
        <v>55</v>
      </c>
      <c r="G39" s="2" t="s">
        <v>290</v>
      </c>
      <c r="H39" s="2" t="s">
        <v>291</v>
      </c>
      <c r="I39" s="2" t="s">
        <v>292</v>
      </c>
      <c r="J39" s="2" t="s">
        <v>293</v>
      </c>
      <c r="K39" s="2" t="s">
        <v>170</v>
      </c>
      <c r="L39" s="2" t="s">
        <v>171</v>
      </c>
      <c r="M39" s="2" t="s">
        <v>293</v>
      </c>
      <c r="N39" s="2" t="s">
        <v>714</v>
      </c>
      <c r="O39" s="2" t="s">
        <v>712</v>
      </c>
      <c r="P39" s="2" t="s">
        <v>713</v>
      </c>
      <c r="Q39" s="2"/>
      <c r="R39" s="2"/>
    </row>
    <row r="40" spans="1:18" ht="52" customHeight="1" x14ac:dyDescent="0.35">
      <c r="A40" s="2" t="s">
        <v>294</v>
      </c>
      <c r="B40" s="2" t="s">
        <v>246</v>
      </c>
      <c r="C40" s="2" t="s">
        <v>295</v>
      </c>
      <c r="D40" s="2" t="s">
        <v>296</v>
      </c>
      <c r="E40" s="2" t="s">
        <v>297</v>
      </c>
      <c r="F40" s="2" t="s">
        <v>23</v>
      </c>
      <c r="G40" s="2" t="s">
        <v>262</v>
      </c>
      <c r="H40" s="2" t="s">
        <v>298</v>
      </c>
      <c r="I40" s="2" t="s">
        <v>257</v>
      </c>
      <c r="J40" s="2" t="s">
        <v>299</v>
      </c>
      <c r="K40" s="2" t="s">
        <v>300</v>
      </c>
      <c r="L40" s="2" t="s">
        <v>301</v>
      </c>
      <c r="M40" s="2" t="s">
        <v>299</v>
      </c>
      <c r="N40" s="2" t="s">
        <v>714</v>
      </c>
      <c r="O40" s="2" t="s">
        <v>712</v>
      </c>
      <c r="P40" s="2" t="s">
        <v>713</v>
      </c>
      <c r="Q40" s="2"/>
      <c r="R40" s="2"/>
    </row>
    <row r="41" spans="1:18" ht="52" customHeight="1" x14ac:dyDescent="0.35">
      <c r="A41" s="2" t="s">
        <v>302</v>
      </c>
      <c r="B41" s="2" t="s">
        <v>246</v>
      </c>
      <c r="C41" s="2" t="s">
        <v>303</v>
      </c>
      <c r="D41" s="2" t="s">
        <v>304</v>
      </c>
      <c r="E41" s="2" t="s">
        <v>305</v>
      </c>
      <c r="F41" s="2" t="s">
        <v>55</v>
      </c>
      <c r="G41" s="2" t="s">
        <v>262</v>
      </c>
      <c r="H41" s="2" t="s">
        <v>306</v>
      </c>
      <c r="I41" s="2" t="s">
        <v>257</v>
      </c>
      <c r="J41" s="2" t="s">
        <v>307</v>
      </c>
      <c r="K41" s="2" t="s">
        <v>170</v>
      </c>
      <c r="L41" s="2" t="s">
        <v>171</v>
      </c>
      <c r="M41" s="2" t="s">
        <v>307</v>
      </c>
      <c r="N41" s="2" t="s">
        <v>714</v>
      </c>
      <c r="O41" s="2" t="s">
        <v>712</v>
      </c>
      <c r="P41" s="2" t="s">
        <v>713</v>
      </c>
      <c r="Q41" s="2"/>
      <c r="R41" s="2"/>
    </row>
    <row r="42" spans="1:18" ht="52" customHeight="1" x14ac:dyDescent="0.35">
      <c r="A42" s="2" t="s">
        <v>308</v>
      </c>
      <c r="B42" s="2" t="s">
        <v>246</v>
      </c>
      <c r="C42" s="2" t="s">
        <v>309</v>
      </c>
      <c r="D42" s="2" t="s">
        <v>310</v>
      </c>
      <c r="E42" s="2" t="s">
        <v>160</v>
      </c>
      <c r="F42" s="2" t="s">
        <v>55</v>
      </c>
      <c r="G42" s="2" t="s">
        <v>311</v>
      </c>
      <c r="H42" s="2" t="s">
        <v>312</v>
      </c>
      <c r="I42" s="2" t="s">
        <v>257</v>
      </c>
      <c r="J42" s="2" t="s">
        <v>313</v>
      </c>
      <c r="K42" s="2" t="s">
        <v>94</v>
      </c>
      <c r="L42" s="2" t="s">
        <v>72</v>
      </c>
      <c r="M42" s="2" t="s">
        <v>313</v>
      </c>
      <c r="N42" s="2" t="s">
        <v>714</v>
      </c>
      <c r="O42" s="2" t="s">
        <v>712</v>
      </c>
      <c r="P42" s="2" t="s">
        <v>713</v>
      </c>
      <c r="Q42" s="2"/>
      <c r="R42" s="2"/>
    </row>
    <row r="43" spans="1:18" ht="52" customHeight="1" thickBot="1" x14ac:dyDescent="0.4">
      <c r="A43" s="2" t="s">
        <v>314</v>
      </c>
      <c r="B43" s="2" t="s">
        <v>315</v>
      </c>
      <c r="C43" s="2" t="s">
        <v>316</v>
      </c>
      <c r="D43" s="2" t="s">
        <v>317</v>
      </c>
      <c r="E43" s="2" t="s">
        <v>22</v>
      </c>
      <c r="F43" s="2" t="s">
        <v>23</v>
      </c>
      <c r="G43" s="2" t="s">
        <v>311</v>
      </c>
      <c r="H43" s="2" t="s">
        <v>318</v>
      </c>
      <c r="I43" s="2" t="s">
        <v>319</v>
      </c>
      <c r="J43" s="2" t="s">
        <v>320</v>
      </c>
      <c r="K43" s="2" t="s">
        <v>300</v>
      </c>
      <c r="L43" s="2" t="s">
        <v>301</v>
      </c>
      <c r="M43" s="4" t="s">
        <v>742</v>
      </c>
      <c r="N43" s="4" t="s">
        <v>715</v>
      </c>
      <c r="O43" s="2" t="s">
        <v>712</v>
      </c>
      <c r="P43" s="2" t="s">
        <v>713</v>
      </c>
      <c r="Q43" s="2"/>
      <c r="R43" s="2"/>
    </row>
    <row r="44" spans="1:18" ht="52" customHeight="1" x14ac:dyDescent="0.35">
      <c r="A44" s="2" t="s">
        <v>321</v>
      </c>
      <c r="B44" s="2" t="s">
        <v>315</v>
      </c>
      <c r="C44" s="2" t="s">
        <v>322</v>
      </c>
      <c r="D44" s="2" t="s">
        <v>323</v>
      </c>
      <c r="E44" s="2" t="s">
        <v>48</v>
      </c>
      <c r="F44" s="2" t="s">
        <v>23</v>
      </c>
      <c r="G44" s="2" t="s">
        <v>324</v>
      </c>
      <c r="H44" s="2" t="s">
        <v>325</v>
      </c>
      <c r="I44" s="2" t="s">
        <v>326</v>
      </c>
      <c r="J44" s="2" t="s">
        <v>327</v>
      </c>
      <c r="K44" s="2" t="s">
        <v>328</v>
      </c>
      <c r="L44" s="2" t="s">
        <v>301</v>
      </c>
      <c r="M44" s="2" t="s">
        <v>327</v>
      </c>
      <c r="N44" s="2" t="s">
        <v>714</v>
      </c>
      <c r="O44" s="2" t="s">
        <v>712</v>
      </c>
      <c r="P44" s="2" t="s">
        <v>713</v>
      </c>
      <c r="Q44" s="2"/>
      <c r="R44" s="2"/>
    </row>
    <row r="45" spans="1:18" ht="52" customHeight="1" x14ac:dyDescent="0.35">
      <c r="A45" s="2" t="s">
        <v>329</v>
      </c>
      <c r="B45" s="2" t="s">
        <v>315</v>
      </c>
      <c r="C45" s="2" t="s">
        <v>330</v>
      </c>
      <c r="D45" s="2" t="s">
        <v>331</v>
      </c>
      <c r="E45" s="2" t="s">
        <v>48</v>
      </c>
      <c r="F45" s="2" t="s">
        <v>55</v>
      </c>
      <c r="G45" s="2" t="s">
        <v>332</v>
      </c>
      <c r="H45" s="2" t="s">
        <v>333</v>
      </c>
      <c r="I45" s="2" t="s">
        <v>334</v>
      </c>
      <c r="J45" s="2" t="s">
        <v>335</v>
      </c>
      <c r="K45" s="2" t="s">
        <v>328</v>
      </c>
      <c r="L45" s="2" t="s">
        <v>301</v>
      </c>
      <c r="M45" s="2" t="s">
        <v>335</v>
      </c>
      <c r="N45" s="2" t="s">
        <v>714</v>
      </c>
      <c r="O45" s="2" t="s">
        <v>712</v>
      </c>
      <c r="P45" s="2" t="s">
        <v>713</v>
      </c>
      <c r="Q45" s="2"/>
      <c r="R45" s="2"/>
    </row>
    <row r="46" spans="1:18" ht="52" customHeight="1" thickBot="1" x14ac:dyDescent="0.4">
      <c r="A46" s="2" t="s">
        <v>336</v>
      </c>
      <c r="B46" s="2" t="s">
        <v>315</v>
      </c>
      <c r="C46" s="2" t="s">
        <v>337</v>
      </c>
      <c r="D46" s="2" t="s">
        <v>338</v>
      </c>
      <c r="E46" s="2" t="s">
        <v>48</v>
      </c>
      <c r="F46" s="2" t="s">
        <v>55</v>
      </c>
      <c r="G46" s="2" t="s">
        <v>332</v>
      </c>
      <c r="H46" s="2" t="s">
        <v>339</v>
      </c>
      <c r="I46" s="2" t="s">
        <v>340</v>
      </c>
      <c r="J46" s="2" t="s">
        <v>335</v>
      </c>
      <c r="K46" s="2" t="s">
        <v>328</v>
      </c>
      <c r="L46" s="2" t="s">
        <v>301</v>
      </c>
      <c r="M46" s="4" t="s">
        <v>741</v>
      </c>
      <c r="N46" s="4" t="s">
        <v>715</v>
      </c>
      <c r="O46" s="2" t="s">
        <v>712</v>
      </c>
      <c r="P46" s="2" t="s">
        <v>713</v>
      </c>
      <c r="Q46" s="2"/>
      <c r="R46" s="2"/>
    </row>
    <row r="47" spans="1:18" ht="52" customHeight="1" x14ac:dyDescent="0.35">
      <c r="A47" s="2" t="s">
        <v>341</v>
      </c>
      <c r="B47" s="2" t="s">
        <v>315</v>
      </c>
      <c r="C47" s="2" t="s">
        <v>342</v>
      </c>
      <c r="D47" s="2" t="s">
        <v>343</v>
      </c>
      <c r="E47" s="2" t="s">
        <v>48</v>
      </c>
      <c r="F47" s="2" t="s">
        <v>55</v>
      </c>
      <c r="G47" s="2" t="s">
        <v>332</v>
      </c>
      <c r="H47" s="2" t="s">
        <v>344</v>
      </c>
      <c r="I47" s="2" t="s">
        <v>345</v>
      </c>
      <c r="J47" s="2" t="s">
        <v>335</v>
      </c>
      <c r="K47" s="2" t="s">
        <v>328</v>
      </c>
      <c r="L47" s="2" t="s">
        <v>301</v>
      </c>
      <c r="M47" s="2" t="s">
        <v>335</v>
      </c>
      <c r="N47" s="2" t="s">
        <v>714</v>
      </c>
      <c r="O47" s="2" t="s">
        <v>712</v>
      </c>
      <c r="P47" s="2" t="s">
        <v>713</v>
      </c>
      <c r="Q47" s="2"/>
      <c r="R47" s="2"/>
    </row>
    <row r="48" spans="1:18" ht="52" customHeight="1" x14ac:dyDescent="0.35">
      <c r="A48" s="2" t="s">
        <v>346</v>
      </c>
      <c r="B48" s="2" t="s">
        <v>315</v>
      </c>
      <c r="C48" s="2" t="s">
        <v>347</v>
      </c>
      <c r="D48" s="2" t="s">
        <v>348</v>
      </c>
      <c r="E48" s="2" t="s">
        <v>76</v>
      </c>
      <c r="F48" s="2" t="s">
        <v>55</v>
      </c>
      <c r="G48" s="2" t="s">
        <v>332</v>
      </c>
      <c r="H48" s="2" t="s">
        <v>349</v>
      </c>
      <c r="I48" s="2" t="s">
        <v>350</v>
      </c>
      <c r="J48" s="2" t="s">
        <v>351</v>
      </c>
      <c r="K48" s="2" t="s">
        <v>328</v>
      </c>
      <c r="L48" s="2" t="s">
        <v>301</v>
      </c>
      <c r="M48" s="2" t="s">
        <v>351</v>
      </c>
      <c r="N48" s="2" t="s">
        <v>714</v>
      </c>
      <c r="O48" s="2" t="s">
        <v>712</v>
      </c>
      <c r="P48" s="2" t="s">
        <v>713</v>
      </c>
      <c r="Q48" s="2"/>
      <c r="R48" s="2"/>
    </row>
    <row r="49" spans="1:18" ht="52" customHeight="1" x14ac:dyDescent="0.35">
      <c r="A49" s="2" t="s">
        <v>352</v>
      </c>
      <c r="B49" s="2" t="s">
        <v>315</v>
      </c>
      <c r="C49" s="2" t="s">
        <v>353</v>
      </c>
      <c r="D49" s="2" t="s">
        <v>354</v>
      </c>
      <c r="E49" s="2" t="s">
        <v>355</v>
      </c>
      <c r="F49" s="2" t="s">
        <v>68</v>
      </c>
      <c r="G49" s="2" t="s">
        <v>332</v>
      </c>
      <c r="H49" s="2" t="s">
        <v>356</v>
      </c>
      <c r="I49" s="2" t="s">
        <v>357</v>
      </c>
      <c r="J49" s="2" t="s">
        <v>358</v>
      </c>
      <c r="K49" s="2" t="s">
        <v>328</v>
      </c>
      <c r="L49" s="2" t="s">
        <v>301</v>
      </c>
      <c r="M49" s="2" t="s">
        <v>358</v>
      </c>
      <c r="N49" s="2" t="s">
        <v>714</v>
      </c>
      <c r="O49" s="2" t="s">
        <v>712</v>
      </c>
      <c r="P49" s="2" t="s">
        <v>713</v>
      </c>
      <c r="Q49" s="2"/>
      <c r="R49" s="2"/>
    </row>
    <row r="50" spans="1:18" ht="52" customHeight="1" x14ac:dyDescent="0.35">
      <c r="A50" s="2" t="s">
        <v>359</v>
      </c>
      <c r="B50" s="2" t="s">
        <v>315</v>
      </c>
      <c r="C50" s="2" t="s">
        <v>360</v>
      </c>
      <c r="D50" s="2" t="s">
        <v>361</v>
      </c>
      <c r="E50" s="2" t="s">
        <v>289</v>
      </c>
      <c r="F50" s="2" t="s">
        <v>55</v>
      </c>
      <c r="G50" s="2" t="s">
        <v>332</v>
      </c>
      <c r="H50" s="2" t="s">
        <v>362</v>
      </c>
      <c r="I50" s="2" t="s">
        <v>363</v>
      </c>
      <c r="J50" s="2" t="s">
        <v>364</v>
      </c>
      <c r="K50" s="2" t="s">
        <v>170</v>
      </c>
      <c r="L50" s="2" t="s">
        <v>171</v>
      </c>
      <c r="M50" s="2" t="s">
        <v>364</v>
      </c>
      <c r="N50" s="2" t="s">
        <v>714</v>
      </c>
      <c r="O50" s="2" t="s">
        <v>712</v>
      </c>
      <c r="P50" s="2" t="s">
        <v>713</v>
      </c>
      <c r="Q50" s="2"/>
      <c r="R50" s="2"/>
    </row>
    <row r="51" spans="1:18" ht="52" customHeight="1" x14ac:dyDescent="0.35">
      <c r="A51" s="2" t="s">
        <v>365</v>
      </c>
      <c r="B51" s="2" t="s">
        <v>315</v>
      </c>
      <c r="C51" s="2" t="s">
        <v>366</v>
      </c>
      <c r="D51" s="2" t="s">
        <v>367</v>
      </c>
      <c r="E51" s="2" t="s">
        <v>160</v>
      </c>
      <c r="F51" s="2" t="s">
        <v>55</v>
      </c>
      <c r="G51" s="2" t="s">
        <v>332</v>
      </c>
      <c r="H51" s="2" t="s">
        <v>368</v>
      </c>
      <c r="I51" s="2" t="s">
        <v>357</v>
      </c>
      <c r="J51" s="2" t="s">
        <v>369</v>
      </c>
      <c r="K51" s="2" t="s">
        <v>94</v>
      </c>
      <c r="L51" s="2" t="s">
        <v>72</v>
      </c>
      <c r="M51" s="2" t="s">
        <v>369</v>
      </c>
      <c r="N51" s="2" t="s">
        <v>714</v>
      </c>
      <c r="O51" s="2" t="s">
        <v>712</v>
      </c>
      <c r="P51" s="2" t="s">
        <v>713</v>
      </c>
      <c r="Q51" s="2"/>
      <c r="R51" s="2"/>
    </row>
    <row r="52" spans="1:18" ht="52" customHeight="1" x14ac:dyDescent="0.35">
      <c r="A52" s="2" t="s">
        <v>370</v>
      </c>
      <c r="B52" s="2" t="s">
        <v>315</v>
      </c>
      <c r="C52" s="2" t="s">
        <v>371</v>
      </c>
      <c r="D52" s="2" t="s">
        <v>372</v>
      </c>
      <c r="E52" s="2" t="s">
        <v>373</v>
      </c>
      <c r="F52" s="2" t="s">
        <v>68</v>
      </c>
      <c r="G52" s="2" t="s">
        <v>332</v>
      </c>
      <c r="H52" s="2" t="s">
        <v>374</v>
      </c>
      <c r="I52" s="2" t="s">
        <v>375</v>
      </c>
      <c r="J52" s="2" t="s">
        <v>376</v>
      </c>
      <c r="K52" s="2" t="s">
        <v>328</v>
      </c>
      <c r="L52" s="2" t="s">
        <v>301</v>
      </c>
      <c r="M52" s="2" t="s">
        <v>376</v>
      </c>
      <c r="N52" s="2" t="s">
        <v>714</v>
      </c>
      <c r="O52" s="2" t="s">
        <v>712</v>
      </c>
      <c r="P52" s="2" t="s">
        <v>713</v>
      </c>
      <c r="Q52" s="2"/>
      <c r="R52" s="2"/>
    </row>
    <row r="53" spans="1:18" ht="52" customHeight="1" x14ac:dyDescent="0.35">
      <c r="A53" s="2" t="s">
        <v>377</v>
      </c>
      <c r="B53" s="2" t="s">
        <v>378</v>
      </c>
      <c r="C53" s="2" t="s">
        <v>379</v>
      </c>
      <c r="D53" s="2" t="s">
        <v>380</v>
      </c>
      <c r="E53" s="2" t="s">
        <v>381</v>
      </c>
      <c r="F53" s="2" t="s">
        <v>23</v>
      </c>
      <c r="G53" s="2" t="s">
        <v>382</v>
      </c>
      <c r="H53" s="2" t="s">
        <v>383</v>
      </c>
      <c r="I53" s="2" t="s">
        <v>384</v>
      </c>
      <c r="J53" s="2" t="s">
        <v>385</v>
      </c>
      <c r="K53" s="2" t="s">
        <v>386</v>
      </c>
      <c r="L53" s="2" t="s">
        <v>387</v>
      </c>
      <c r="M53" s="2" t="s">
        <v>385</v>
      </c>
      <c r="N53" s="2" t="s">
        <v>714</v>
      </c>
      <c r="O53" s="2" t="s">
        <v>712</v>
      </c>
      <c r="P53" s="2" t="s">
        <v>713</v>
      </c>
      <c r="Q53" s="2"/>
      <c r="R53" s="2"/>
    </row>
    <row r="54" spans="1:18" ht="52" customHeight="1" x14ac:dyDescent="0.35">
      <c r="A54" s="2" t="s">
        <v>388</v>
      </c>
      <c r="B54" s="2" t="s">
        <v>378</v>
      </c>
      <c r="C54" s="2" t="s">
        <v>389</v>
      </c>
      <c r="D54" s="2" t="s">
        <v>390</v>
      </c>
      <c r="E54" s="2" t="s">
        <v>391</v>
      </c>
      <c r="F54" s="2" t="s">
        <v>23</v>
      </c>
      <c r="G54" s="2" t="s">
        <v>392</v>
      </c>
      <c r="H54" s="2" t="s">
        <v>393</v>
      </c>
      <c r="I54" s="2" t="s">
        <v>394</v>
      </c>
      <c r="J54" s="2" t="s">
        <v>395</v>
      </c>
      <c r="K54" s="2" t="s">
        <v>386</v>
      </c>
      <c r="L54" s="2" t="s">
        <v>387</v>
      </c>
      <c r="M54" s="2" t="s">
        <v>395</v>
      </c>
      <c r="N54" s="2" t="s">
        <v>714</v>
      </c>
      <c r="O54" s="2" t="s">
        <v>712</v>
      </c>
      <c r="P54" s="2" t="s">
        <v>713</v>
      </c>
      <c r="Q54" s="2"/>
      <c r="R54" s="2"/>
    </row>
    <row r="55" spans="1:18" ht="52" customHeight="1" x14ac:dyDescent="0.35">
      <c r="A55" s="2" t="s">
        <v>396</v>
      </c>
      <c r="B55" s="2" t="s">
        <v>378</v>
      </c>
      <c r="C55" s="2" t="s">
        <v>397</v>
      </c>
      <c r="D55" s="2" t="s">
        <v>398</v>
      </c>
      <c r="E55" s="2" t="s">
        <v>268</v>
      </c>
      <c r="F55" s="2" t="s">
        <v>23</v>
      </c>
      <c r="G55" s="2" t="s">
        <v>399</v>
      </c>
      <c r="H55" s="2" t="s">
        <v>400</v>
      </c>
      <c r="I55" s="2" t="s">
        <v>401</v>
      </c>
      <c r="J55" s="2" t="s">
        <v>402</v>
      </c>
      <c r="K55" s="2" t="s">
        <v>386</v>
      </c>
      <c r="L55" s="2" t="s">
        <v>387</v>
      </c>
      <c r="M55" s="2" t="s">
        <v>402</v>
      </c>
      <c r="N55" s="2" t="s">
        <v>714</v>
      </c>
      <c r="O55" s="2" t="s">
        <v>712</v>
      </c>
      <c r="P55" s="2" t="s">
        <v>713</v>
      </c>
      <c r="Q55" s="2"/>
      <c r="R55" s="2"/>
    </row>
    <row r="56" spans="1:18" ht="52" customHeight="1" x14ac:dyDescent="0.35">
      <c r="A56" s="2" t="s">
        <v>403</v>
      </c>
      <c r="B56" s="2" t="s">
        <v>378</v>
      </c>
      <c r="C56" s="2" t="s">
        <v>404</v>
      </c>
      <c r="D56" s="2" t="s">
        <v>405</v>
      </c>
      <c r="E56" s="2" t="s">
        <v>406</v>
      </c>
      <c r="F56" s="2" t="s">
        <v>55</v>
      </c>
      <c r="G56" s="2" t="s">
        <v>407</v>
      </c>
      <c r="H56" s="2" t="s">
        <v>408</v>
      </c>
      <c r="I56" s="2" t="s">
        <v>409</v>
      </c>
      <c r="J56" s="2" t="s">
        <v>410</v>
      </c>
      <c r="K56" s="2" t="s">
        <v>170</v>
      </c>
      <c r="L56" s="2" t="s">
        <v>171</v>
      </c>
      <c r="M56" s="2" t="s">
        <v>410</v>
      </c>
      <c r="N56" s="2" t="s">
        <v>714</v>
      </c>
      <c r="O56" s="2" t="s">
        <v>712</v>
      </c>
      <c r="P56" s="2" t="s">
        <v>713</v>
      </c>
      <c r="Q56" s="2"/>
      <c r="R56" s="2"/>
    </row>
    <row r="57" spans="1:18" ht="52" customHeight="1" x14ac:dyDescent="0.35">
      <c r="A57" s="2" t="s">
        <v>411</v>
      </c>
      <c r="B57" s="2" t="s">
        <v>378</v>
      </c>
      <c r="C57" s="2" t="s">
        <v>412</v>
      </c>
      <c r="D57" s="2" t="s">
        <v>413</v>
      </c>
      <c r="E57" s="2" t="s">
        <v>67</v>
      </c>
      <c r="F57" s="2" t="s">
        <v>68</v>
      </c>
      <c r="G57" s="2" t="s">
        <v>407</v>
      </c>
      <c r="H57" s="2" t="s">
        <v>414</v>
      </c>
      <c r="I57" s="2" t="s">
        <v>125</v>
      </c>
      <c r="J57" s="2" t="s">
        <v>415</v>
      </c>
      <c r="K57" s="2" t="s">
        <v>386</v>
      </c>
      <c r="L57" s="2" t="s">
        <v>72</v>
      </c>
      <c r="M57" s="2" t="s">
        <v>415</v>
      </c>
      <c r="N57" s="2" t="s">
        <v>714</v>
      </c>
      <c r="O57" s="2" t="s">
        <v>712</v>
      </c>
      <c r="P57" s="2" t="s">
        <v>713</v>
      </c>
      <c r="Q57" s="2"/>
      <c r="R57" s="2"/>
    </row>
    <row r="58" spans="1:18" ht="52" customHeight="1" thickBot="1" x14ac:dyDescent="0.4">
      <c r="A58" s="2" t="s">
        <v>416</v>
      </c>
      <c r="B58" s="2" t="s">
        <v>417</v>
      </c>
      <c r="C58" s="2" t="s">
        <v>418</v>
      </c>
      <c r="D58" s="2" t="s">
        <v>419</v>
      </c>
      <c r="E58" s="2" t="s">
        <v>297</v>
      </c>
      <c r="F58" s="2" t="s">
        <v>23</v>
      </c>
      <c r="G58" s="2" t="s">
        <v>420</v>
      </c>
      <c r="H58" s="2" t="s">
        <v>421</v>
      </c>
      <c r="I58" s="2" t="s">
        <v>422</v>
      </c>
      <c r="J58" s="2" t="s">
        <v>423</v>
      </c>
      <c r="K58" s="2" t="s">
        <v>424</v>
      </c>
      <c r="L58" s="2" t="s">
        <v>387</v>
      </c>
      <c r="M58" s="4" t="s">
        <v>738</v>
      </c>
      <c r="N58" s="4" t="s">
        <v>715</v>
      </c>
      <c r="O58" s="2" t="s">
        <v>712</v>
      </c>
      <c r="P58" s="2" t="s">
        <v>713</v>
      </c>
      <c r="Q58" s="2"/>
      <c r="R58" s="2"/>
    </row>
    <row r="59" spans="1:18" ht="52" customHeight="1" x14ac:dyDescent="0.35">
      <c r="A59" s="2" t="s">
        <v>425</v>
      </c>
      <c r="B59" s="2" t="s">
        <v>417</v>
      </c>
      <c r="C59" s="2" t="s">
        <v>426</v>
      </c>
      <c r="D59" s="2" t="s">
        <v>427</v>
      </c>
      <c r="E59" s="2" t="s">
        <v>67</v>
      </c>
      <c r="F59" s="2" t="s">
        <v>55</v>
      </c>
      <c r="G59" s="2" t="s">
        <v>428</v>
      </c>
      <c r="H59" s="2" t="s">
        <v>429</v>
      </c>
      <c r="I59" s="2" t="s">
        <v>430</v>
      </c>
      <c r="J59" s="2" t="s">
        <v>431</v>
      </c>
      <c r="K59" s="2" t="s">
        <v>424</v>
      </c>
      <c r="L59" s="2" t="s">
        <v>387</v>
      </c>
      <c r="M59" s="2" t="s">
        <v>431</v>
      </c>
      <c r="N59" s="2" t="s">
        <v>714</v>
      </c>
      <c r="O59" s="2" t="s">
        <v>712</v>
      </c>
      <c r="P59" s="2" t="s">
        <v>713</v>
      </c>
      <c r="Q59" s="2"/>
      <c r="R59" s="2"/>
    </row>
    <row r="60" spans="1:18" ht="52" customHeight="1" thickBot="1" x14ac:dyDescent="0.4">
      <c r="A60" s="2" t="s">
        <v>432</v>
      </c>
      <c r="B60" s="2" t="s">
        <v>417</v>
      </c>
      <c r="C60" s="2" t="s">
        <v>433</v>
      </c>
      <c r="D60" s="2" t="s">
        <v>434</v>
      </c>
      <c r="E60" s="2" t="s">
        <v>435</v>
      </c>
      <c r="F60" s="2" t="s">
        <v>55</v>
      </c>
      <c r="G60" s="2" t="s">
        <v>436</v>
      </c>
      <c r="H60" s="2" t="s">
        <v>437</v>
      </c>
      <c r="I60" s="2" t="s">
        <v>430</v>
      </c>
      <c r="J60" s="2" t="s">
        <v>438</v>
      </c>
      <c r="K60" s="2" t="s">
        <v>170</v>
      </c>
      <c r="L60" s="2" t="s">
        <v>171</v>
      </c>
      <c r="M60" s="4" t="s">
        <v>740</v>
      </c>
      <c r="N60" s="4" t="s">
        <v>715</v>
      </c>
      <c r="O60" s="2" t="s">
        <v>712</v>
      </c>
      <c r="P60" s="2" t="s">
        <v>713</v>
      </c>
      <c r="Q60" s="2"/>
      <c r="R60" s="2"/>
    </row>
    <row r="61" spans="1:18" ht="52" customHeight="1" x14ac:dyDescent="0.35">
      <c r="A61" s="2" t="s">
        <v>439</v>
      </c>
      <c r="B61" s="2" t="s">
        <v>417</v>
      </c>
      <c r="C61" s="2" t="s">
        <v>440</v>
      </c>
      <c r="D61" s="2" t="s">
        <v>441</v>
      </c>
      <c r="E61" s="2" t="s">
        <v>373</v>
      </c>
      <c r="F61" s="2" t="s">
        <v>55</v>
      </c>
      <c r="G61" s="2" t="s">
        <v>442</v>
      </c>
      <c r="H61" s="2" t="s">
        <v>443</v>
      </c>
      <c r="I61" s="2" t="s">
        <v>444</v>
      </c>
      <c r="J61" s="2" t="s">
        <v>445</v>
      </c>
      <c r="K61" s="2" t="s">
        <v>424</v>
      </c>
      <c r="L61" s="2" t="s">
        <v>387</v>
      </c>
      <c r="M61" s="2" t="s">
        <v>445</v>
      </c>
      <c r="N61" s="2" t="s">
        <v>714</v>
      </c>
      <c r="O61" s="2" t="s">
        <v>712</v>
      </c>
      <c r="P61" s="2" t="s">
        <v>713</v>
      </c>
      <c r="Q61" s="2"/>
      <c r="R61" s="2"/>
    </row>
    <row r="62" spans="1:18" ht="52" customHeight="1" thickBot="1" x14ac:dyDescent="0.4">
      <c r="A62" s="2" t="s">
        <v>446</v>
      </c>
      <c r="B62" s="2" t="s">
        <v>166</v>
      </c>
      <c r="C62" s="2" t="s">
        <v>447</v>
      </c>
      <c r="D62" s="2" t="s">
        <v>448</v>
      </c>
      <c r="E62" s="2" t="s">
        <v>449</v>
      </c>
      <c r="F62" s="2" t="s">
        <v>23</v>
      </c>
      <c r="G62" s="2" t="s">
        <v>24</v>
      </c>
      <c r="H62" s="2" t="s">
        <v>450</v>
      </c>
      <c r="I62" s="2" t="s">
        <v>451</v>
      </c>
      <c r="J62" s="2" t="s">
        <v>452</v>
      </c>
      <c r="K62" s="2" t="s">
        <v>424</v>
      </c>
      <c r="L62" s="2" t="s">
        <v>387</v>
      </c>
      <c r="M62" s="4" t="s">
        <v>738</v>
      </c>
      <c r="N62" s="4" t="s">
        <v>715</v>
      </c>
      <c r="O62" s="2" t="s">
        <v>712</v>
      </c>
      <c r="P62" s="2" t="s">
        <v>713</v>
      </c>
      <c r="Q62" s="2"/>
      <c r="R62" s="2"/>
    </row>
    <row r="63" spans="1:18" ht="52" customHeight="1" thickBot="1" x14ac:dyDescent="0.4">
      <c r="A63" s="2" t="s">
        <v>453</v>
      </c>
      <c r="B63" s="2" t="s">
        <v>166</v>
      </c>
      <c r="C63" s="2" t="s">
        <v>454</v>
      </c>
      <c r="D63" s="2" t="s">
        <v>455</v>
      </c>
      <c r="E63" s="2" t="s">
        <v>166</v>
      </c>
      <c r="F63" s="2" t="s">
        <v>55</v>
      </c>
      <c r="G63" s="2" t="s">
        <v>108</v>
      </c>
      <c r="H63" s="2" t="s">
        <v>456</v>
      </c>
      <c r="I63" s="2" t="s">
        <v>457</v>
      </c>
      <c r="J63" s="2" t="s">
        <v>458</v>
      </c>
      <c r="K63" s="2" t="s">
        <v>142</v>
      </c>
      <c r="L63" s="2" t="s">
        <v>134</v>
      </c>
      <c r="M63" s="4" t="s">
        <v>739</v>
      </c>
      <c r="N63" s="4" t="s">
        <v>715</v>
      </c>
      <c r="O63" s="2" t="s">
        <v>712</v>
      </c>
      <c r="P63" s="2" t="s">
        <v>713</v>
      </c>
      <c r="Q63" s="2"/>
      <c r="R63" s="2"/>
    </row>
    <row r="64" spans="1:18" ht="52" customHeight="1" x14ac:dyDescent="0.35">
      <c r="A64" s="2" t="s">
        <v>459</v>
      </c>
      <c r="B64" s="2" t="s">
        <v>166</v>
      </c>
      <c r="C64" s="2" t="s">
        <v>460</v>
      </c>
      <c r="D64" s="2" t="s">
        <v>461</v>
      </c>
      <c r="E64" s="2" t="s">
        <v>236</v>
      </c>
      <c r="F64" s="2" t="s">
        <v>55</v>
      </c>
      <c r="G64" s="2" t="s">
        <v>108</v>
      </c>
      <c r="H64" s="2" t="s">
        <v>462</v>
      </c>
      <c r="I64" s="2" t="s">
        <v>463</v>
      </c>
      <c r="J64" s="2" t="s">
        <v>464</v>
      </c>
      <c r="K64" s="2" t="s">
        <v>179</v>
      </c>
      <c r="L64" s="2" t="s">
        <v>180</v>
      </c>
      <c r="M64" s="2" t="s">
        <v>464</v>
      </c>
      <c r="N64" s="2" t="s">
        <v>714</v>
      </c>
      <c r="O64" s="2" t="s">
        <v>712</v>
      </c>
      <c r="P64" s="2" t="s">
        <v>713</v>
      </c>
      <c r="Q64" s="2"/>
      <c r="R64" s="2"/>
    </row>
    <row r="65" spans="1:18" ht="52" customHeight="1" thickBot="1" x14ac:dyDescent="0.4">
      <c r="A65" s="2" t="s">
        <v>465</v>
      </c>
      <c r="B65" s="2" t="s">
        <v>166</v>
      </c>
      <c r="C65" s="2" t="s">
        <v>466</v>
      </c>
      <c r="D65" s="2" t="s">
        <v>467</v>
      </c>
      <c r="E65" s="2" t="s">
        <v>305</v>
      </c>
      <c r="F65" s="2" t="s">
        <v>55</v>
      </c>
      <c r="G65" s="2" t="s">
        <v>108</v>
      </c>
      <c r="H65" s="2" t="s">
        <v>468</v>
      </c>
      <c r="I65" s="2" t="s">
        <v>257</v>
      </c>
      <c r="J65" s="2" t="s">
        <v>469</v>
      </c>
      <c r="K65" s="2" t="s">
        <v>170</v>
      </c>
      <c r="L65" s="2" t="s">
        <v>171</v>
      </c>
      <c r="M65" s="4" t="s">
        <v>734</v>
      </c>
      <c r="N65" s="4" t="s">
        <v>715</v>
      </c>
      <c r="O65" s="2" t="s">
        <v>712</v>
      </c>
      <c r="P65" s="2" t="s">
        <v>713</v>
      </c>
      <c r="Q65" s="2"/>
      <c r="R65" s="2"/>
    </row>
    <row r="66" spans="1:18" ht="52" customHeight="1" thickBot="1" x14ac:dyDescent="0.4">
      <c r="A66" s="2" t="s">
        <v>470</v>
      </c>
      <c r="B66" s="2" t="s">
        <v>166</v>
      </c>
      <c r="C66" s="2" t="s">
        <v>471</v>
      </c>
      <c r="D66" s="2" t="s">
        <v>472</v>
      </c>
      <c r="E66" s="2" t="s">
        <v>406</v>
      </c>
      <c r="F66" s="2" t="s">
        <v>55</v>
      </c>
      <c r="G66" s="2" t="s">
        <v>108</v>
      </c>
      <c r="H66" s="2" t="s">
        <v>473</v>
      </c>
      <c r="I66" s="2" t="s">
        <v>257</v>
      </c>
      <c r="J66" s="2" t="s">
        <v>474</v>
      </c>
      <c r="K66" s="2" t="s">
        <v>170</v>
      </c>
      <c r="L66" s="2" t="s">
        <v>171</v>
      </c>
      <c r="M66" s="4" t="s">
        <v>735</v>
      </c>
      <c r="N66" s="4" t="s">
        <v>715</v>
      </c>
      <c r="O66" s="2" t="s">
        <v>712</v>
      </c>
      <c r="P66" s="2" t="s">
        <v>713</v>
      </c>
      <c r="Q66" s="2"/>
      <c r="R66" s="2"/>
    </row>
    <row r="67" spans="1:18" ht="52" customHeight="1" thickBot="1" x14ac:dyDescent="0.4">
      <c r="A67" s="2" t="s">
        <v>475</v>
      </c>
      <c r="B67" s="2" t="s">
        <v>166</v>
      </c>
      <c r="C67" s="2" t="s">
        <v>476</v>
      </c>
      <c r="D67" s="2" t="s">
        <v>477</v>
      </c>
      <c r="E67" s="2" t="s">
        <v>478</v>
      </c>
      <c r="F67" s="2" t="s">
        <v>55</v>
      </c>
      <c r="G67" s="2" t="s">
        <v>108</v>
      </c>
      <c r="H67" s="2" t="s">
        <v>479</v>
      </c>
      <c r="I67" s="2" t="s">
        <v>480</v>
      </c>
      <c r="J67" s="2" t="s">
        <v>481</v>
      </c>
      <c r="K67" s="2" t="s">
        <v>28</v>
      </c>
      <c r="L67" s="2" t="s">
        <v>29</v>
      </c>
      <c r="M67" s="4" t="s">
        <v>736</v>
      </c>
      <c r="N67" s="4" t="s">
        <v>715</v>
      </c>
      <c r="O67" s="2" t="s">
        <v>712</v>
      </c>
      <c r="P67" s="2" t="s">
        <v>713</v>
      </c>
      <c r="Q67" s="2"/>
      <c r="R67" s="2"/>
    </row>
    <row r="68" spans="1:18" ht="52" customHeight="1" thickBot="1" x14ac:dyDescent="0.4">
      <c r="A68" s="2" t="s">
        <v>482</v>
      </c>
      <c r="B68" s="2" t="s">
        <v>166</v>
      </c>
      <c r="C68" s="2" t="s">
        <v>483</v>
      </c>
      <c r="D68" s="2" t="s">
        <v>484</v>
      </c>
      <c r="E68" s="2" t="s">
        <v>166</v>
      </c>
      <c r="F68" s="2" t="s">
        <v>55</v>
      </c>
      <c r="G68" s="2" t="s">
        <v>108</v>
      </c>
      <c r="H68" s="2" t="s">
        <v>485</v>
      </c>
      <c r="I68" s="2" t="s">
        <v>486</v>
      </c>
      <c r="J68" s="2" t="s">
        <v>487</v>
      </c>
      <c r="K68" s="2" t="s">
        <v>102</v>
      </c>
      <c r="L68" s="2" t="s">
        <v>103</v>
      </c>
      <c r="M68" s="4" t="s">
        <v>737</v>
      </c>
      <c r="N68" s="4" t="s">
        <v>715</v>
      </c>
      <c r="O68" s="2" t="s">
        <v>712</v>
      </c>
      <c r="P68" s="2" t="s">
        <v>713</v>
      </c>
      <c r="Q68" s="2"/>
      <c r="R68" s="2"/>
    </row>
    <row r="69" spans="1:18" ht="52" customHeight="1" x14ac:dyDescent="0.35">
      <c r="A69" s="2" t="s">
        <v>488</v>
      </c>
      <c r="B69" s="2" t="s">
        <v>166</v>
      </c>
      <c r="C69" s="2" t="s">
        <v>489</v>
      </c>
      <c r="D69" s="2" t="s">
        <v>490</v>
      </c>
      <c r="E69" s="2" t="s">
        <v>491</v>
      </c>
      <c r="F69" s="2" t="s">
        <v>23</v>
      </c>
      <c r="G69" s="2" t="s">
        <v>492</v>
      </c>
      <c r="H69" s="2" t="s">
        <v>493</v>
      </c>
      <c r="I69" s="2" t="s">
        <v>480</v>
      </c>
      <c r="J69" s="2" t="s">
        <v>494</v>
      </c>
      <c r="K69" s="2" t="s">
        <v>495</v>
      </c>
      <c r="L69" s="2" t="s">
        <v>496</v>
      </c>
      <c r="M69" s="2" t="s">
        <v>494</v>
      </c>
      <c r="N69" s="2" t="s">
        <v>714</v>
      </c>
      <c r="O69" s="2" t="s">
        <v>712</v>
      </c>
      <c r="P69" s="2" t="s">
        <v>713</v>
      </c>
      <c r="Q69" s="2"/>
      <c r="R69" s="2"/>
    </row>
    <row r="70" spans="1:18" ht="52" customHeight="1" x14ac:dyDescent="0.35">
      <c r="A70" s="2" t="s">
        <v>497</v>
      </c>
      <c r="B70" s="2" t="s">
        <v>166</v>
      </c>
      <c r="C70" s="2" t="s">
        <v>498</v>
      </c>
      <c r="D70" s="2" t="s">
        <v>499</v>
      </c>
      <c r="E70" s="2" t="s">
        <v>500</v>
      </c>
      <c r="F70" s="2" t="s">
        <v>55</v>
      </c>
      <c r="G70" s="2" t="s">
        <v>501</v>
      </c>
      <c r="H70" s="2" t="s">
        <v>502</v>
      </c>
      <c r="I70" s="2" t="s">
        <v>480</v>
      </c>
      <c r="J70" s="2" t="s">
        <v>503</v>
      </c>
      <c r="K70" s="2" t="s">
        <v>495</v>
      </c>
      <c r="L70" s="2" t="s">
        <v>496</v>
      </c>
      <c r="M70" s="2" t="s">
        <v>503</v>
      </c>
      <c r="N70" s="2" t="s">
        <v>714</v>
      </c>
      <c r="O70" s="2" t="s">
        <v>712</v>
      </c>
      <c r="P70" s="2" t="s">
        <v>713</v>
      </c>
      <c r="Q70" s="2"/>
      <c r="R70" s="2"/>
    </row>
    <row r="71" spans="1:18" ht="52" customHeight="1" x14ac:dyDescent="0.35">
      <c r="A71" s="2" t="s">
        <v>504</v>
      </c>
      <c r="B71" s="2" t="s">
        <v>166</v>
      </c>
      <c r="C71" s="2" t="s">
        <v>505</v>
      </c>
      <c r="D71" s="2" t="s">
        <v>506</v>
      </c>
      <c r="E71" s="2" t="s">
        <v>507</v>
      </c>
      <c r="F71" s="2" t="s">
        <v>23</v>
      </c>
      <c r="G71" s="2" t="s">
        <v>508</v>
      </c>
      <c r="H71" s="2" t="s">
        <v>509</v>
      </c>
      <c r="I71" s="2" t="s">
        <v>510</v>
      </c>
      <c r="J71" s="2" t="s">
        <v>511</v>
      </c>
      <c r="K71" s="2" t="s">
        <v>512</v>
      </c>
      <c r="L71" s="2" t="s">
        <v>496</v>
      </c>
      <c r="M71" s="2" t="s">
        <v>511</v>
      </c>
      <c r="N71" s="2" t="s">
        <v>714</v>
      </c>
      <c r="O71" s="2" t="s">
        <v>712</v>
      </c>
      <c r="P71" s="2" t="s">
        <v>713</v>
      </c>
      <c r="Q71" s="2"/>
      <c r="R71" s="2"/>
    </row>
    <row r="72" spans="1:18" ht="52" customHeight="1" x14ac:dyDescent="0.35">
      <c r="A72" s="2" t="s">
        <v>513</v>
      </c>
      <c r="B72" s="2" t="s">
        <v>160</v>
      </c>
      <c r="C72" s="2" t="s">
        <v>514</v>
      </c>
      <c r="D72" s="2" t="s">
        <v>515</v>
      </c>
      <c r="E72" s="2" t="s">
        <v>160</v>
      </c>
      <c r="F72" s="2" t="s">
        <v>55</v>
      </c>
      <c r="G72" s="2" t="s">
        <v>24</v>
      </c>
      <c r="H72" s="2" t="s">
        <v>516</v>
      </c>
      <c r="I72" s="2" t="s">
        <v>125</v>
      </c>
      <c r="J72" s="2" t="s">
        <v>517</v>
      </c>
      <c r="K72" s="2" t="s">
        <v>94</v>
      </c>
      <c r="L72" s="2" t="s">
        <v>72</v>
      </c>
      <c r="M72" s="2" t="s">
        <v>517</v>
      </c>
      <c r="N72" s="2" t="s">
        <v>714</v>
      </c>
      <c r="O72" s="2" t="s">
        <v>712</v>
      </c>
      <c r="P72" s="2" t="s">
        <v>713</v>
      </c>
      <c r="Q72" s="2"/>
      <c r="R72" s="2"/>
    </row>
    <row r="73" spans="1:18" ht="52" customHeight="1" x14ac:dyDescent="0.35">
      <c r="A73" s="2" t="s">
        <v>518</v>
      </c>
      <c r="B73" s="2" t="s">
        <v>160</v>
      </c>
      <c r="C73" s="2" t="s">
        <v>519</v>
      </c>
      <c r="D73" s="2" t="s">
        <v>520</v>
      </c>
      <c r="E73" s="2" t="s">
        <v>160</v>
      </c>
      <c r="F73" s="2" t="s">
        <v>55</v>
      </c>
      <c r="G73" s="2" t="s">
        <v>521</v>
      </c>
      <c r="H73" s="2" t="s">
        <v>522</v>
      </c>
      <c r="I73" s="2" t="s">
        <v>125</v>
      </c>
      <c r="J73" s="2" t="s">
        <v>523</v>
      </c>
      <c r="K73" s="2" t="s">
        <v>94</v>
      </c>
      <c r="L73" s="2" t="s">
        <v>72</v>
      </c>
      <c r="M73" s="2" t="s">
        <v>523</v>
      </c>
      <c r="N73" s="2" t="s">
        <v>714</v>
      </c>
      <c r="O73" s="2" t="s">
        <v>712</v>
      </c>
      <c r="P73" s="2" t="s">
        <v>713</v>
      </c>
      <c r="Q73" s="2"/>
      <c r="R73" s="2"/>
    </row>
    <row r="74" spans="1:18" ht="52" customHeight="1" thickBot="1" x14ac:dyDescent="0.4">
      <c r="A74" s="2" t="s">
        <v>524</v>
      </c>
      <c r="B74" s="2" t="s">
        <v>525</v>
      </c>
      <c r="C74" s="2" t="s">
        <v>526</v>
      </c>
      <c r="D74" s="2" t="s">
        <v>527</v>
      </c>
      <c r="E74" s="2" t="s">
        <v>525</v>
      </c>
      <c r="F74" s="2" t="s">
        <v>55</v>
      </c>
      <c r="G74" s="2" t="s">
        <v>108</v>
      </c>
      <c r="H74" s="2" t="s">
        <v>528</v>
      </c>
      <c r="I74" s="2" t="s">
        <v>529</v>
      </c>
      <c r="J74" s="2" t="s">
        <v>530</v>
      </c>
      <c r="K74" s="2" t="s">
        <v>142</v>
      </c>
      <c r="L74" s="2" t="s">
        <v>134</v>
      </c>
      <c r="M74" s="4" t="s">
        <v>731</v>
      </c>
      <c r="N74" s="4" t="s">
        <v>715</v>
      </c>
      <c r="O74" s="2" t="s">
        <v>712</v>
      </c>
      <c r="P74" s="2" t="s">
        <v>713</v>
      </c>
      <c r="Q74" s="2"/>
      <c r="R74" s="2"/>
    </row>
    <row r="75" spans="1:18" ht="52" customHeight="1" thickBot="1" x14ac:dyDescent="0.4">
      <c r="A75" s="2" t="s">
        <v>531</v>
      </c>
      <c r="B75" s="2" t="s">
        <v>525</v>
      </c>
      <c r="C75" s="2" t="s">
        <v>532</v>
      </c>
      <c r="D75" s="2" t="s">
        <v>533</v>
      </c>
      <c r="E75" s="2" t="s">
        <v>534</v>
      </c>
      <c r="F75" s="2" t="s">
        <v>55</v>
      </c>
      <c r="G75" s="2" t="s">
        <v>311</v>
      </c>
      <c r="H75" s="2" t="s">
        <v>535</v>
      </c>
      <c r="I75" s="2" t="s">
        <v>357</v>
      </c>
      <c r="J75" s="2" t="s">
        <v>536</v>
      </c>
      <c r="K75" s="2" t="s">
        <v>170</v>
      </c>
      <c r="L75" s="2" t="s">
        <v>171</v>
      </c>
      <c r="M75" s="4" t="s">
        <v>732</v>
      </c>
      <c r="N75" s="4" t="s">
        <v>715</v>
      </c>
      <c r="O75" s="2" t="s">
        <v>712</v>
      </c>
      <c r="P75" s="2" t="s">
        <v>713</v>
      </c>
      <c r="Q75" s="2"/>
      <c r="R75" s="2"/>
    </row>
    <row r="76" spans="1:18" ht="52" customHeight="1" thickBot="1" x14ac:dyDescent="0.4">
      <c r="A76" s="2" t="s">
        <v>537</v>
      </c>
      <c r="B76" s="2" t="s">
        <v>525</v>
      </c>
      <c r="C76" s="2" t="s">
        <v>538</v>
      </c>
      <c r="D76" s="2" t="s">
        <v>539</v>
      </c>
      <c r="E76" s="2" t="s">
        <v>534</v>
      </c>
      <c r="F76" s="2" t="s">
        <v>68</v>
      </c>
      <c r="G76" s="2" t="s">
        <v>540</v>
      </c>
      <c r="H76" s="2" t="s">
        <v>541</v>
      </c>
      <c r="I76" s="2" t="s">
        <v>542</v>
      </c>
      <c r="J76" s="2" t="s">
        <v>543</v>
      </c>
      <c r="K76" s="2" t="s">
        <v>38</v>
      </c>
      <c r="L76" s="2" t="s">
        <v>72</v>
      </c>
      <c r="M76" s="4" t="s">
        <v>733</v>
      </c>
      <c r="N76" s="4" t="s">
        <v>715</v>
      </c>
      <c r="O76" s="2" t="s">
        <v>712</v>
      </c>
      <c r="P76" s="2" t="s">
        <v>713</v>
      </c>
      <c r="Q76" s="2"/>
      <c r="R76" s="2"/>
    </row>
  </sheetData>
  <autoFilter ref="A1:R7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opLeftCell="D1" workbookViewId="0">
      <pane ySplit="1" topLeftCell="A8" activePane="bottomLeft" state="frozen"/>
      <selection pane="bottomLeft" activeCell="I2" sqref="I2:I11"/>
    </sheetView>
  </sheetViews>
  <sheetFormatPr defaultRowHeight="14.5" x14ac:dyDescent="0.35"/>
  <cols>
    <col min="1" max="1" width="12" customWidth="1"/>
    <col min="2" max="2" width="32" customWidth="1"/>
    <col min="3" max="3" width="46" customWidth="1"/>
    <col min="4" max="4" width="14" customWidth="1"/>
    <col min="5" max="5" width="12" customWidth="1"/>
    <col min="6" max="6" width="14" customWidth="1"/>
    <col min="7" max="7" width="12" customWidth="1"/>
    <col min="8" max="8" width="55" customWidth="1"/>
    <col min="9" max="9" width="22" customWidth="1"/>
    <col min="10" max="10" width="25" customWidth="1"/>
  </cols>
  <sheetData>
    <row r="1" spans="1:10" x14ac:dyDescent="0.35">
      <c r="A1" s="1" t="s">
        <v>11</v>
      </c>
      <c r="B1" s="1" t="s">
        <v>544</v>
      </c>
      <c r="C1" s="1" t="s">
        <v>545</v>
      </c>
      <c r="D1" s="1" t="s">
        <v>546</v>
      </c>
      <c r="E1" s="1" t="s">
        <v>547</v>
      </c>
      <c r="F1" s="1" t="s">
        <v>548</v>
      </c>
      <c r="G1" s="1" t="s">
        <v>5</v>
      </c>
      <c r="H1" s="1" t="s">
        <v>549</v>
      </c>
      <c r="I1" s="1" t="s">
        <v>13</v>
      </c>
      <c r="J1" s="1" t="s">
        <v>550</v>
      </c>
    </row>
    <row r="2" spans="1:10" ht="52" customHeight="1" x14ac:dyDescent="0.35">
      <c r="A2" s="2" t="s">
        <v>29</v>
      </c>
      <c r="B2" s="2" t="s">
        <v>551</v>
      </c>
      <c r="C2" s="2" t="s">
        <v>552</v>
      </c>
      <c r="D2" s="2" t="s">
        <v>553</v>
      </c>
      <c r="E2" s="2" t="s">
        <v>554</v>
      </c>
      <c r="F2" s="2" t="s">
        <v>553</v>
      </c>
      <c r="G2" s="2" t="s">
        <v>23</v>
      </c>
      <c r="H2" s="2" t="s">
        <v>555</v>
      </c>
      <c r="I2" s="2"/>
      <c r="J2" s="2"/>
    </row>
    <row r="3" spans="1:10" ht="52" customHeight="1" x14ac:dyDescent="0.35">
      <c r="A3" s="2" t="s">
        <v>103</v>
      </c>
      <c r="B3" s="2" t="s">
        <v>556</v>
      </c>
      <c r="C3" s="2" t="s">
        <v>557</v>
      </c>
      <c r="D3" s="2" t="s">
        <v>553</v>
      </c>
      <c r="E3" s="2" t="s">
        <v>554</v>
      </c>
      <c r="F3" s="2" t="s">
        <v>553</v>
      </c>
      <c r="G3" s="2" t="s">
        <v>23</v>
      </c>
      <c r="H3" s="2" t="s">
        <v>558</v>
      </c>
      <c r="I3" s="2"/>
      <c r="J3" s="2"/>
    </row>
    <row r="4" spans="1:10" ht="52" customHeight="1" x14ac:dyDescent="0.35">
      <c r="A4" s="2" t="s">
        <v>180</v>
      </c>
      <c r="B4" s="2" t="s">
        <v>559</v>
      </c>
      <c r="C4" s="2" t="s">
        <v>560</v>
      </c>
      <c r="D4" s="2" t="s">
        <v>554</v>
      </c>
      <c r="E4" s="2" t="s">
        <v>554</v>
      </c>
      <c r="F4" s="2" t="s">
        <v>554</v>
      </c>
      <c r="G4" s="2" t="s">
        <v>55</v>
      </c>
      <c r="H4" s="2" t="s">
        <v>561</v>
      </c>
      <c r="I4" s="2"/>
      <c r="J4" s="2"/>
    </row>
    <row r="5" spans="1:10" ht="52" customHeight="1" x14ac:dyDescent="0.35">
      <c r="A5" s="2" t="s">
        <v>134</v>
      </c>
      <c r="B5" s="2" t="s">
        <v>562</v>
      </c>
      <c r="C5" s="2" t="s">
        <v>563</v>
      </c>
      <c r="D5" s="2" t="s">
        <v>553</v>
      </c>
      <c r="E5" s="2" t="s">
        <v>554</v>
      </c>
      <c r="F5" s="2" t="s">
        <v>553</v>
      </c>
      <c r="G5" s="2" t="s">
        <v>23</v>
      </c>
      <c r="H5" s="2" t="s">
        <v>564</v>
      </c>
      <c r="I5" s="2"/>
      <c r="J5" s="2"/>
    </row>
    <row r="6" spans="1:10" ht="52" customHeight="1" x14ac:dyDescent="0.35">
      <c r="A6" s="2" t="s">
        <v>301</v>
      </c>
      <c r="B6" s="2" t="s">
        <v>565</v>
      </c>
      <c r="C6" s="2" t="s">
        <v>566</v>
      </c>
      <c r="D6" s="2" t="s">
        <v>553</v>
      </c>
      <c r="E6" s="2" t="s">
        <v>554</v>
      </c>
      <c r="F6" s="2" t="s">
        <v>553</v>
      </c>
      <c r="G6" s="2" t="s">
        <v>23</v>
      </c>
      <c r="H6" s="2" t="s">
        <v>567</v>
      </c>
      <c r="I6" s="2"/>
      <c r="J6" s="2"/>
    </row>
    <row r="7" spans="1:10" ht="52" customHeight="1" x14ac:dyDescent="0.35">
      <c r="A7" s="2" t="s">
        <v>387</v>
      </c>
      <c r="B7" s="2" t="s">
        <v>568</v>
      </c>
      <c r="C7" s="2" t="s">
        <v>569</v>
      </c>
      <c r="D7" s="2" t="s">
        <v>553</v>
      </c>
      <c r="E7" s="2" t="s">
        <v>554</v>
      </c>
      <c r="F7" s="2" t="s">
        <v>553</v>
      </c>
      <c r="G7" s="2" t="s">
        <v>23</v>
      </c>
      <c r="H7" s="2" t="s">
        <v>570</v>
      </c>
      <c r="I7" s="2"/>
      <c r="J7" s="2"/>
    </row>
    <row r="8" spans="1:10" ht="52" customHeight="1" x14ac:dyDescent="0.35">
      <c r="A8" s="2" t="s">
        <v>171</v>
      </c>
      <c r="B8" s="2" t="s">
        <v>571</v>
      </c>
      <c r="C8" s="2" t="s">
        <v>572</v>
      </c>
      <c r="D8" s="2" t="s">
        <v>554</v>
      </c>
      <c r="E8" s="2" t="s">
        <v>554</v>
      </c>
      <c r="F8" s="2" t="s">
        <v>554</v>
      </c>
      <c r="G8" s="2" t="s">
        <v>55</v>
      </c>
      <c r="H8" s="2" t="s">
        <v>573</v>
      </c>
      <c r="I8" s="2"/>
      <c r="J8" s="2"/>
    </row>
    <row r="9" spans="1:10" ht="52" customHeight="1" x14ac:dyDescent="0.35">
      <c r="A9" s="2" t="s">
        <v>72</v>
      </c>
      <c r="B9" s="2" t="s">
        <v>574</v>
      </c>
      <c r="C9" s="2" t="s">
        <v>575</v>
      </c>
      <c r="D9" s="2" t="s">
        <v>554</v>
      </c>
      <c r="E9" s="2" t="s">
        <v>554</v>
      </c>
      <c r="F9" s="2" t="s">
        <v>554</v>
      </c>
      <c r="G9" s="2" t="s">
        <v>55</v>
      </c>
      <c r="H9" s="2" t="s">
        <v>576</v>
      </c>
      <c r="I9" s="2"/>
      <c r="J9" s="2"/>
    </row>
    <row r="10" spans="1:10" ht="52" customHeight="1" x14ac:dyDescent="0.35">
      <c r="A10" s="2" t="s">
        <v>496</v>
      </c>
      <c r="B10" s="2" t="s">
        <v>577</v>
      </c>
      <c r="C10" s="2" t="s">
        <v>578</v>
      </c>
      <c r="D10" s="2" t="s">
        <v>553</v>
      </c>
      <c r="E10" s="2" t="s">
        <v>554</v>
      </c>
      <c r="F10" s="2" t="s">
        <v>553</v>
      </c>
      <c r="G10" s="2" t="s">
        <v>23</v>
      </c>
      <c r="H10" s="2" t="s">
        <v>579</v>
      </c>
      <c r="I10" s="2"/>
      <c r="J10" s="2"/>
    </row>
    <row r="11" spans="1:10" ht="52" customHeight="1" x14ac:dyDescent="0.35">
      <c r="A11" s="2" t="s">
        <v>580</v>
      </c>
      <c r="B11" s="2" t="s">
        <v>581</v>
      </c>
      <c r="C11" s="2" t="s">
        <v>582</v>
      </c>
      <c r="D11" s="2" t="s">
        <v>554</v>
      </c>
      <c r="E11" s="2" t="s">
        <v>553</v>
      </c>
      <c r="F11" s="2" t="s">
        <v>553</v>
      </c>
      <c r="G11" s="2" t="s">
        <v>55</v>
      </c>
      <c r="H11" s="2" t="s">
        <v>583</v>
      </c>
      <c r="I11" s="2"/>
      <c r="J11" s="2"/>
    </row>
  </sheetData>
  <autoFilter ref="A1:J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tabSelected="1" topLeftCell="D1" workbookViewId="0">
      <pane ySplit="1" topLeftCell="A14" activePane="bottomLeft" state="frozen"/>
      <selection pane="bottomLeft" activeCell="I16" sqref="I16"/>
    </sheetView>
  </sheetViews>
  <sheetFormatPr defaultRowHeight="14.5" x14ac:dyDescent="0.35"/>
  <cols>
    <col min="1" max="2" width="20" customWidth="1"/>
    <col min="3" max="3" width="55" customWidth="1"/>
    <col min="4" max="4" width="12" customWidth="1"/>
    <col min="5" max="5" width="24" customWidth="1"/>
    <col min="6" max="6" width="30" customWidth="1"/>
    <col min="7" max="7" width="12" customWidth="1"/>
    <col min="8" max="8" width="50" customWidth="1"/>
    <col min="9" max="9" width="20" customWidth="1"/>
  </cols>
  <sheetData>
    <row r="1" spans="1:9" x14ac:dyDescent="0.35">
      <c r="A1" s="1" t="s">
        <v>10</v>
      </c>
      <c r="B1" s="1" t="s">
        <v>1</v>
      </c>
      <c r="C1" s="1" t="s">
        <v>584</v>
      </c>
      <c r="D1" s="1" t="s">
        <v>5</v>
      </c>
      <c r="E1" s="1" t="s">
        <v>4</v>
      </c>
      <c r="F1" s="1" t="s">
        <v>585</v>
      </c>
      <c r="G1" s="1" t="s">
        <v>11</v>
      </c>
      <c r="H1" s="1" t="s">
        <v>586</v>
      </c>
      <c r="I1" s="1" t="s">
        <v>587</v>
      </c>
    </row>
    <row r="2" spans="1:9" ht="52" customHeight="1" x14ac:dyDescent="0.35">
      <c r="A2" s="2" t="s">
        <v>28</v>
      </c>
      <c r="B2" s="2" t="s">
        <v>19</v>
      </c>
      <c r="C2" s="2" t="s">
        <v>588</v>
      </c>
      <c r="D2" s="2" t="s">
        <v>553</v>
      </c>
      <c r="E2" s="2" t="s">
        <v>228</v>
      </c>
      <c r="F2" s="2" t="s">
        <v>589</v>
      </c>
      <c r="G2" s="2" t="s">
        <v>29</v>
      </c>
      <c r="H2" s="2" t="s">
        <v>590</v>
      </c>
      <c r="I2" s="2" t="s">
        <v>716</v>
      </c>
    </row>
    <row r="3" spans="1:9" ht="52" customHeight="1" x14ac:dyDescent="0.35">
      <c r="A3" s="2" t="s">
        <v>38</v>
      </c>
      <c r="B3" s="2" t="s">
        <v>19</v>
      </c>
      <c r="C3" s="2" t="s">
        <v>591</v>
      </c>
      <c r="D3" s="2" t="s">
        <v>553</v>
      </c>
      <c r="E3" s="2" t="s">
        <v>592</v>
      </c>
      <c r="F3" s="2" t="s">
        <v>593</v>
      </c>
      <c r="G3" s="2" t="s">
        <v>29</v>
      </c>
      <c r="H3" s="2" t="s">
        <v>594</v>
      </c>
      <c r="I3" s="2" t="s">
        <v>716</v>
      </c>
    </row>
    <row r="4" spans="1:9" ht="52" customHeight="1" x14ac:dyDescent="0.35">
      <c r="A4" s="2" t="s">
        <v>102</v>
      </c>
      <c r="B4" s="2" t="s">
        <v>96</v>
      </c>
      <c r="C4" s="2" t="s">
        <v>595</v>
      </c>
      <c r="D4" s="2" t="s">
        <v>553</v>
      </c>
      <c r="E4" s="2" t="s">
        <v>228</v>
      </c>
      <c r="F4" s="2" t="s">
        <v>589</v>
      </c>
      <c r="G4" s="2" t="s">
        <v>103</v>
      </c>
      <c r="H4" s="2" t="s">
        <v>596</v>
      </c>
      <c r="I4" s="2" t="s">
        <v>716</v>
      </c>
    </row>
    <row r="5" spans="1:9" ht="52" customHeight="1" x14ac:dyDescent="0.35">
      <c r="A5" s="2" t="s">
        <v>224</v>
      </c>
      <c r="B5" s="2" t="s">
        <v>96</v>
      </c>
      <c r="C5" s="2" t="s">
        <v>597</v>
      </c>
      <c r="D5" s="2" t="s">
        <v>554</v>
      </c>
      <c r="E5" s="2" t="s">
        <v>598</v>
      </c>
      <c r="F5" s="2" t="s">
        <v>599</v>
      </c>
      <c r="G5" s="2" t="s">
        <v>103</v>
      </c>
      <c r="H5" s="2" t="s">
        <v>217</v>
      </c>
      <c r="I5" s="2" t="s">
        <v>716</v>
      </c>
    </row>
    <row r="6" spans="1:9" ht="52" customHeight="1" x14ac:dyDescent="0.35">
      <c r="A6" s="2" t="s">
        <v>179</v>
      </c>
      <c r="B6" s="2" t="s">
        <v>173</v>
      </c>
      <c r="C6" s="2" t="s">
        <v>600</v>
      </c>
      <c r="D6" s="2" t="s">
        <v>554</v>
      </c>
      <c r="E6" s="2" t="s">
        <v>601</v>
      </c>
      <c r="F6" s="2" t="s">
        <v>602</v>
      </c>
      <c r="G6" s="2" t="s">
        <v>180</v>
      </c>
      <c r="H6" s="2" t="s">
        <v>603</v>
      </c>
      <c r="I6" s="2" t="s">
        <v>716</v>
      </c>
    </row>
    <row r="7" spans="1:9" ht="52" customHeight="1" x14ac:dyDescent="0.35">
      <c r="A7" s="2" t="s">
        <v>119</v>
      </c>
      <c r="B7" s="2" t="s">
        <v>218</v>
      </c>
      <c r="C7" s="2" t="s">
        <v>604</v>
      </c>
      <c r="D7" s="2" t="s">
        <v>554</v>
      </c>
      <c r="E7" s="2" t="s">
        <v>605</v>
      </c>
      <c r="F7" s="2" t="s">
        <v>606</v>
      </c>
      <c r="G7" s="2" t="s">
        <v>103</v>
      </c>
      <c r="H7" s="2" t="s">
        <v>607</v>
      </c>
      <c r="I7" s="2" t="s">
        <v>716</v>
      </c>
    </row>
    <row r="8" spans="1:9" ht="52" customHeight="1" x14ac:dyDescent="0.35">
      <c r="A8" s="2" t="s">
        <v>133</v>
      </c>
      <c r="B8" s="2" t="s">
        <v>246</v>
      </c>
      <c r="C8" s="2" t="s">
        <v>608</v>
      </c>
      <c r="D8" s="2" t="s">
        <v>553</v>
      </c>
      <c r="E8" s="2" t="s">
        <v>598</v>
      </c>
      <c r="F8" s="2" t="s">
        <v>589</v>
      </c>
      <c r="G8" s="2" t="s">
        <v>134</v>
      </c>
      <c r="H8" s="2" t="s">
        <v>609</v>
      </c>
      <c r="I8" s="2" t="s">
        <v>716</v>
      </c>
    </row>
    <row r="9" spans="1:9" ht="52" customHeight="1" x14ac:dyDescent="0.35">
      <c r="A9" s="2" t="s">
        <v>252</v>
      </c>
      <c r="B9" s="2" t="s">
        <v>246</v>
      </c>
      <c r="C9" s="2" t="s">
        <v>610</v>
      </c>
      <c r="D9" s="2" t="s">
        <v>553</v>
      </c>
      <c r="E9" s="2" t="s">
        <v>601</v>
      </c>
      <c r="F9" s="2" t="s">
        <v>589</v>
      </c>
      <c r="G9" s="2" t="s">
        <v>134</v>
      </c>
      <c r="H9" s="2" t="s">
        <v>611</v>
      </c>
      <c r="I9" s="2" t="s">
        <v>716</v>
      </c>
    </row>
    <row r="10" spans="1:9" ht="52" customHeight="1" x14ac:dyDescent="0.35">
      <c r="A10" s="2" t="s">
        <v>142</v>
      </c>
      <c r="B10" s="2" t="s">
        <v>246</v>
      </c>
      <c r="C10" s="2" t="s">
        <v>612</v>
      </c>
      <c r="D10" s="2" t="s">
        <v>553</v>
      </c>
      <c r="E10" s="2" t="s">
        <v>268</v>
      </c>
      <c r="F10" s="2" t="s">
        <v>613</v>
      </c>
      <c r="G10" s="2" t="s">
        <v>134</v>
      </c>
      <c r="H10" s="2" t="s">
        <v>614</v>
      </c>
      <c r="I10" s="2" t="s">
        <v>716</v>
      </c>
    </row>
    <row r="11" spans="1:9" ht="52" customHeight="1" x14ac:dyDescent="0.35">
      <c r="A11" s="2" t="s">
        <v>300</v>
      </c>
      <c r="B11" s="2" t="s">
        <v>315</v>
      </c>
      <c r="C11" s="2" t="s">
        <v>615</v>
      </c>
      <c r="D11" s="2" t="s">
        <v>553</v>
      </c>
      <c r="E11" s="2" t="s">
        <v>297</v>
      </c>
      <c r="F11" s="2" t="s">
        <v>589</v>
      </c>
      <c r="G11" s="2" t="s">
        <v>301</v>
      </c>
      <c r="H11" s="2" t="s">
        <v>616</v>
      </c>
      <c r="I11" s="2" t="s">
        <v>716</v>
      </c>
    </row>
    <row r="12" spans="1:9" ht="52" customHeight="1" x14ac:dyDescent="0.35">
      <c r="A12" s="2" t="s">
        <v>328</v>
      </c>
      <c r="B12" s="2" t="s">
        <v>315</v>
      </c>
      <c r="C12" s="2" t="s">
        <v>617</v>
      </c>
      <c r="D12" s="2" t="s">
        <v>553</v>
      </c>
      <c r="E12" s="2" t="s">
        <v>618</v>
      </c>
      <c r="F12" s="2" t="s">
        <v>619</v>
      </c>
      <c r="G12" s="2" t="s">
        <v>301</v>
      </c>
      <c r="H12" s="2" t="s">
        <v>620</v>
      </c>
      <c r="I12" s="2" t="s">
        <v>716</v>
      </c>
    </row>
    <row r="13" spans="1:9" ht="52" customHeight="1" x14ac:dyDescent="0.35">
      <c r="A13" s="2" t="s">
        <v>386</v>
      </c>
      <c r="B13" s="2" t="s">
        <v>378</v>
      </c>
      <c r="C13" s="2" t="s">
        <v>621</v>
      </c>
      <c r="D13" s="2" t="s">
        <v>622</v>
      </c>
      <c r="E13" s="2" t="s">
        <v>268</v>
      </c>
      <c r="F13" s="2" t="s">
        <v>623</v>
      </c>
      <c r="G13" s="2" t="s">
        <v>387</v>
      </c>
      <c r="H13" s="2" t="s">
        <v>624</v>
      </c>
      <c r="I13" s="2" t="s">
        <v>716</v>
      </c>
    </row>
    <row r="14" spans="1:9" ht="52" customHeight="1" x14ac:dyDescent="0.35">
      <c r="A14" s="2" t="s">
        <v>424</v>
      </c>
      <c r="B14" s="2" t="s">
        <v>417</v>
      </c>
      <c r="C14" s="2" t="s">
        <v>625</v>
      </c>
      <c r="D14" s="2" t="s">
        <v>622</v>
      </c>
      <c r="E14" s="2" t="s">
        <v>297</v>
      </c>
      <c r="F14" s="2" t="s">
        <v>589</v>
      </c>
      <c r="G14" s="2" t="s">
        <v>387</v>
      </c>
      <c r="H14" s="2" t="s">
        <v>626</v>
      </c>
      <c r="I14" s="2" t="s">
        <v>716</v>
      </c>
    </row>
    <row r="15" spans="1:9" ht="52" customHeight="1" x14ac:dyDescent="0.35">
      <c r="A15" s="2" t="s">
        <v>170</v>
      </c>
      <c r="B15" s="2" t="s">
        <v>627</v>
      </c>
      <c r="C15" s="2" t="s">
        <v>628</v>
      </c>
      <c r="D15" s="2" t="s">
        <v>554</v>
      </c>
      <c r="E15" s="2" t="s">
        <v>629</v>
      </c>
      <c r="F15" s="2" t="s">
        <v>630</v>
      </c>
      <c r="G15" s="2" t="s">
        <v>171</v>
      </c>
      <c r="H15" s="2" t="s">
        <v>631</v>
      </c>
      <c r="I15" s="2" t="s">
        <v>716</v>
      </c>
    </row>
    <row r="16" spans="1:9" ht="52" customHeight="1" x14ac:dyDescent="0.35">
      <c r="A16" s="2" t="s">
        <v>94</v>
      </c>
      <c r="B16" s="2" t="s">
        <v>160</v>
      </c>
      <c r="C16" s="2" t="s">
        <v>632</v>
      </c>
      <c r="D16" s="2" t="s">
        <v>554</v>
      </c>
      <c r="E16" s="2" t="s">
        <v>633</v>
      </c>
      <c r="F16" s="2" t="s">
        <v>634</v>
      </c>
      <c r="G16" s="2" t="s">
        <v>72</v>
      </c>
      <c r="H16" s="2" t="s">
        <v>635</v>
      </c>
      <c r="I16" s="2" t="s">
        <v>751</v>
      </c>
    </row>
    <row r="17" spans="1:9" ht="52" customHeight="1" x14ac:dyDescent="0.35">
      <c r="A17" s="2" t="s">
        <v>495</v>
      </c>
      <c r="B17" s="2" t="s">
        <v>636</v>
      </c>
      <c r="C17" s="2" t="s">
        <v>637</v>
      </c>
      <c r="D17" s="2" t="s">
        <v>553</v>
      </c>
      <c r="E17" s="2" t="s">
        <v>636</v>
      </c>
      <c r="F17" s="2" t="s">
        <v>638</v>
      </c>
      <c r="G17" s="2" t="s">
        <v>496</v>
      </c>
      <c r="H17" s="2" t="s">
        <v>639</v>
      </c>
      <c r="I17" s="2" t="s">
        <v>716</v>
      </c>
    </row>
    <row r="18" spans="1:9" ht="52" customHeight="1" x14ac:dyDescent="0.35">
      <c r="A18" s="2" t="s">
        <v>512</v>
      </c>
      <c r="B18" s="2" t="s">
        <v>640</v>
      </c>
      <c r="C18" s="2" t="s">
        <v>641</v>
      </c>
      <c r="D18" s="2" t="s">
        <v>554</v>
      </c>
      <c r="E18" s="2" t="s">
        <v>642</v>
      </c>
      <c r="F18" s="2" t="s">
        <v>638</v>
      </c>
      <c r="G18" s="2" t="s">
        <v>496</v>
      </c>
      <c r="H18" s="2" t="s">
        <v>504</v>
      </c>
      <c r="I18" s="2" t="s">
        <v>716</v>
      </c>
    </row>
  </sheetData>
  <autoFilter ref="A1:I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topLeftCell="E1" workbookViewId="0">
      <pane ySplit="1" topLeftCell="A8" activePane="bottomLeft" state="frozen"/>
      <selection pane="bottomLeft" activeCell="I3" sqref="I3"/>
    </sheetView>
  </sheetViews>
  <sheetFormatPr defaultRowHeight="14.5" x14ac:dyDescent="0.35"/>
  <cols>
    <col min="1" max="1" width="14" customWidth="1"/>
    <col min="2" max="2" width="30" customWidth="1"/>
    <col min="3" max="3" width="16" customWidth="1"/>
    <col min="4" max="4" width="55" customWidth="1"/>
    <col min="5" max="5" width="35" customWidth="1"/>
    <col min="6" max="6" width="55" customWidth="1"/>
    <col min="7" max="8" width="45" customWidth="1"/>
    <col min="9" max="9" width="21" customWidth="1"/>
    <col min="10" max="10" width="18" customWidth="1"/>
  </cols>
  <sheetData>
    <row r="1" spans="1:10" x14ac:dyDescent="0.35">
      <c r="A1" s="1" t="s">
        <v>643</v>
      </c>
      <c r="B1" s="1" t="s">
        <v>644</v>
      </c>
      <c r="C1" s="1" t="s">
        <v>645</v>
      </c>
      <c r="D1" s="1" t="s">
        <v>646</v>
      </c>
      <c r="E1" s="1" t="s">
        <v>647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</row>
    <row r="2" spans="1:10" ht="78.5" customHeight="1" thickBot="1" x14ac:dyDescent="0.4">
      <c r="A2" s="2" t="s">
        <v>653</v>
      </c>
      <c r="B2" s="2" t="s">
        <v>654</v>
      </c>
      <c r="C2" s="2" t="s">
        <v>655</v>
      </c>
      <c r="D2" s="2" t="s">
        <v>656</v>
      </c>
      <c r="E2" s="2" t="s">
        <v>657</v>
      </c>
      <c r="F2" s="2" t="s">
        <v>658</v>
      </c>
      <c r="G2" s="2" t="s">
        <v>659</v>
      </c>
      <c r="H2" s="2" t="s">
        <v>660</v>
      </c>
      <c r="I2" s="4" t="s">
        <v>730</v>
      </c>
      <c r="J2" s="4" t="s">
        <v>717</v>
      </c>
    </row>
    <row r="3" spans="1:10" ht="80.5" customHeight="1" thickBot="1" x14ac:dyDescent="0.4">
      <c r="A3" s="2" t="s">
        <v>661</v>
      </c>
      <c r="B3" s="2" t="s">
        <v>662</v>
      </c>
      <c r="C3" s="2" t="s">
        <v>663</v>
      </c>
      <c r="D3" s="2" t="s">
        <v>664</v>
      </c>
      <c r="E3" s="2" t="s">
        <v>665</v>
      </c>
      <c r="F3" s="2" t="s">
        <v>666</v>
      </c>
      <c r="G3" s="2" t="s">
        <v>667</v>
      </c>
      <c r="H3" s="2" t="s">
        <v>668</v>
      </c>
      <c r="I3" s="4" t="s">
        <v>729</v>
      </c>
      <c r="J3" s="4" t="s">
        <v>718</v>
      </c>
    </row>
    <row r="4" spans="1:10" ht="52" customHeight="1" thickBot="1" x14ac:dyDescent="0.4">
      <c r="A4" s="2" t="s">
        <v>669</v>
      </c>
      <c r="B4" s="2" t="s">
        <v>670</v>
      </c>
      <c r="C4" s="2" t="s">
        <v>663</v>
      </c>
      <c r="D4" s="2" t="s">
        <v>671</v>
      </c>
      <c r="E4" s="2" t="s">
        <v>672</v>
      </c>
      <c r="F4" s="2" t="s">
        <v>673</v>
      </c>
      <c r="G4" s="2" t="s">
        <v>674</v>
      </c>
      <c r="H4" s="2" t="s">
        <v>675</v>
      </c>
      <c r="I4" s="4" t="s">
        <v>728</v>
      </c>
      <c r="J4" s="4" t="s">
        <v>719</v>
      </c>
    </row>
    <row r="5" spans="1:10" ht="52" customHeight="1" thickBot="1" x14ac:dyDescent="0.4">
      <c r="A5" s="2" t="s">
        <v>676</v>
      </c>
      <c r="B5" s="2" t="s">
        <v>677</v>
      </c>
      <c r="C5" s="2" t="s">
        <v>663</v>
      </c>
      <c r="D5" s="2" t="s">
        <v>678</v>
      </c>
      <c r="E5" s="2" t="s">
        <v>679</v>
      </c>
      <c r="F5" s="2" t="s">
        <v>680</v>
      </c>
      <c r="G5" s="2" t="s">
        <v>681</v>
      </c>
      <c r="H5" s="2" t="s">
        <v>682</v>
      </c>
      <c r="I5" s="4" t="s">
        <v>720</v>
      </c>
      <c r="J5" s="4" t="s">
        <v>721</v>
      </c>
    </row>
    <row r="6" spans="1:10" ht="52" customHeight="1" thickBot="1" x14ac:dyDescent="0.4">
      <c r="A6" s="2" t="s">
        <v>683</v>
      </c>
      <c r="B6" s="2" t="s">
        <v>684</v>
      </c>
      <c r="C6" s="2" t="s">
        <v>655</v>
      </c>
      <c r="D6" s="2" t="s">
        <v>685</v>
      </c>
      <c r="E6" s="2" t="s">
        <v>686</v>
      </c>
      <c r="F6" s="2" t="s">
        <v>687</v>
      </c>
      <c r="G6" s="2" t="s">
        <v>688</v>
      </c>
      <c r="H6" s="2" t="s">
        <v>689</v>
      </c>
      <c r="I6" s="4" t="s">
        <v>727</v>
      </c>
      <c r="J6" s="4" t="s">
        <v>722</v>
      </c>
    </row>
    <row r="7" spans="1:10" ht="52" customHeight="1" thickBot="1" x14ac:dyDescent="0.4">
      <c r="A7" s="2" t="s">
        <v>690</v>
      </c>
      <c r="B7" s="2" t="s">
        <v>691</v>
      </c>
      <c r="C7" s="2" t="s">
        <v>655</v>
      </c>
      <c r="D7" s="2" t="s">
        <v>692</v>
      </c>
      <c r="E7" s="2" t="s">
        <v>693</v>
      </c>
      <c r="F7" s="2" t="s">
        <v>694</v>
      </c>
      <c r="G7" s="2" t="s">
        <v>695</v>
      </c>
      <c r="H7" s="2" t="s">
        <v>696</v>
      </c>
      <c r="I7" s="4" t="s">
        <v>726</v>
      </c>
      <c r="J7" s="4" t="s">
        <v>723</v>
      </c>
    </row>
    <row r="8" spans="1:10" ht="52" customHeight="1" thickBot="1" x14ac:dyDescent="0.4">
      <c r="A8" s="2" t="s">
        <v>697</v>
      </c>
      <c r="B8" s="2" t="s">
        <v>698</v>
      </c>
      <c r="C8" s="2" t="s">
        <v>663</v>
      </c>
      <c r="D8" s="2" t="s">
        <v>699</v>
      </c>
      <c r="E8" s="2" t="s">
        <v>700</v>
      </c>
      <c r="F8" s="2" t="s">
        <v>701</v>
      </c>
      <c r="G8" s="2" t="s">
        <v>702</v>
      </c>
      <c r="H8" s="2" t="s">
        <v>703</v>
      </c>
      <c r="I8" s="4" t="s">
        <v>725</v>
      </c>
      <c r="J8" s="4" t="s">
        <v>724</v>
      </c>
    </row>
  </sheetData>
  <autoFilter ref="A1:J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pane ySplit="1" topLeftCell="A2" activePane="bottomLeft" state="frozen"/>
      <selection pane="bottomLeft" activeCell="A10" sqref="A10"/>
    </sheetView>
  </sheetViews>
  <sheetFormatPr defaultRowHeight="14.5" x14ac:dyDescent="0.35"/>
  <cols>
    <col min="1" max="1" width="32" customWidth="1"/>
    <col min="2" max="2" width="90" customWidth="1"/>
  </cols>
  <sheetData>
    <row r="1" spans="1:2" x14ac:dyDescent="0.35">
      <c r="A1" s="1" t="s">
        <v>704</v>
      </c>
      <c r="B1" s="1" t="s">
        <v>705</v>
      </c>
    </row>
    <row r="2" spans="1:2" ht="28" customHeight="1" x14ac:dyDescent="0.35">
      <c r="A2" s="2" t="s">
        <v>706</v>
      </c>
      <c r="B2" s="2">
        <f>COUNTA('Manual Test Cases'!A2:A76)</f>
        <v>75</v>
      </c>
    </row>
    <row r="3" spans="1:2" ht="28" customHeight="1" x14ac:dyDescent="0.35">
      <c r="A3" s="2" t="s">
        <v>707</v>
      </c>
      <c r="B3" s="2">
        <f>COUNTIF('Manual Test Cases'!N2:N76,"Pass")</f>
        <v>43</v>
      </c>
    </row>
    <row r="4" spans="1:2" ht="28" customHeight="1" x14ac:dyDescent="0.35">
      <c r="A4" s="2" t="s">
        <v>708</v>
      </c>
      <c r="B4" s="2">
        <f>COUNTIF('Manual Test Cases'!N2:N76,"Fail")</f>
        <v>32</v>
      </c>
    </row>
    <row r="5" spans="1:2" ht="28" customHeight="1" x14ac:dyDescent="0.35">
      <c r="A5" s="2" t="s">
        <v>709</v>
      </c>
      <c r="B5" s="2">
        <f>COUNTIF('Manual Test Cases'!N2:N76,"Blocked")</f>
        <v>0</v>
      </c>
    </row>
    <row r="6" spans="1:2" ht="28" customHeight="1" x14ac:dyDescent="0.35">
      <c r="A6" s="2" t="s">
        <v>30</v>
      </c>
      <c r="B6" s="2">
        <f>COUNTIF('Manual Test Cases'!N2:N76,"Not Run")</f>
        <v>0</v>
      </c>
    </row>
    <row r="7" spans="1:2" ht="28" customHeight="1" x14ac:dyDescent="0.35">
      <c r="A7" s="2" t="s">
        <v>710</v>
      </c>
      <c r="B7" s="2">
        <f>B3+B4+B5</f>
        <v>75</v>
      </c>
    </row>
    <row r="8" spans="1:2" ht="28" customHeight="1" x14ac:dyDescent="0.35">
      <c r="A8" s="2" t="s">
        <v>711</v>
      </c>
      <c r="B8" s="3">
        <f>IF(B7=0,0,B3/B7)</f>
        <v>0.57333333333333336</v>
      </c>
    </row>
    <row r="9" spans="1:2" ht="28" customHeight="1" x14ac:dyDescent="0.35">
      <c r="A9" s="2"/>
      <c r="B9" s="2"/>
    </row>
    <row r="10" spans="1:2" ht="28" customHeight="1" x14ac:dyDescent="0.35">
      <c r="A10" s="2"/>
      <c r="B10" s="2"/>
    </row>
  </sheetData>
  <autoFilter ref="A1:B1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Manual Test Cases</vt:lpstr>
      <vt:lpstr>Risk Register</vt:lpstr>
      <vt:lpstr>Requirements Traceability</vt:lpstr>
      <vt:lpstr>Exploratory Charters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chinedu ojinmah</cp:lastModifiedBy>
  <dcterms:created xsi:type="dcterms:W3CDTF">2026-10-24T21:05:32Z</dcterms:created>
  <dcterms:modified xsi:type="dcterms:W3CDTF">2026-10-30T16:16:04Z</dcterms:modified>
</cp:coreProperties>
</file>